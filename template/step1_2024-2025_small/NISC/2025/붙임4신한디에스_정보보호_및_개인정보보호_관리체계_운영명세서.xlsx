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현재_통합_문서" defaultThemeVersion="124226"/>
  <bookViews>
    <workbookView xWindow="0" yWindow="0" windowWidth="28800" windowHeight="12255" tabRatio="849"/>
  </bookViews>
  <sheets>
    <sheet name="통계" sheetId="37" r:id="rId1"/>
    <sheet name="ISMS-P" sheetId="26" r:id="rId2"/>
  </sheets>
  <externalReferences>
    <externalReference r:id="rId3"/>
  </externalReferences>
  <definedNames>
    <definedName name="_xlnm.Print_Area" localSheetId="1">'ISMS-P'!$B$2:$K$108</definedName>
    <definedName name="_xlnm.Print_Area" localSheetId="0">통계!$A$1:$I$29</definedName>
    <definedName name="_xlnm.Print_Titles" localSheetId="1">'ISMS-P'!$4:$4</definedName>
  </definedNames>
  <calcPr calcId="162913"/>
</workbook>
</file>

<file path=xl/calcChain.xml><?xml version="1.0" encoding="utf-8"?>
<calcChain xmlns="http://schemas.openxmlformats.org/spreadsheetml/2006/main">
  <c r="E23" i="37" l="1"/>
  <c r="E24" i="37"/>
  <c r="E25" i="37"/>
  <c r="E26" i="37"/>
  <c r="E22" i="37"/>
  <c r="E10" i="37"/>
  <c r="E11" i="37"/>
  <c r="E12" i="37"/>
  <c r="E13" i="37"/>
  <c r="E14" i="37"/>
  <c r="E15" i="37"/>
  <c r="E16" i="37"/>
  <c r="E17" i="37"/>
  <c r="E18" i="37"/>
  <c r="E19" i="37"/>
  <c r="E20" i="37"/>
  <c r="E9" i="37"/>
  <c r="E5" i="37"/>
  <c r="E6" i="37"/>
  <c r="E7" i="37"/>
  <c r="E4" i="37"/>
  <c r="G25" i="37"/>
  <c r="H25" i="37"/>
  <c r="G26" i="37"/>
  <c r="H26" i="37"/>
  <c r="F26" i="37"/>
  <c r="F25" i="37"/>
  <c r="G16" i="37"/>
  <c r="H16" i="37"/>
  <c r="G17" i="37"/>
  <c r="H17" i="37"/>
  <c r="G18" i="37"/>
  <c r="H18" i="37"/>
  <c r="G19" i="37"/>
  <c r="H19" i="37"/>
  <c r="G20" i="37"/>
  <c r="H20" i="37"/>
  <c r="F20" i="37"/>
  <c r="F19" i="37"/>
  <c r="F18" i="37"/>
  <c r="F17" i="37"/>
  <c r="F16" i="37"/>
  <c r="H24" i="37" l="1"/>
  <c r="G24" i="37"/>
  <c r="F24" i="37"/>
  <c r="H23" i="37"/>
  <c r="G23" i="37"/>
  <c r="F23" i="37"/>
  <c r="H22" i="37"/>
  <c r="G22" i="37"/>
  <c r="F22" i="37"/>
  <c r="H15" i="37"/>
  <c r="G15" i="37"/>
  <c r="F15" i="37"/>
  <c r="H14" i="37"/>
  <c r="G14" i="37"/>
  <c r="F14" i="37"/>
  <c r="H13" i="37"/>
  <c r="G13" i="37"/>
  <c r="F13" i="37"/>
  <c r="H12" i="37"/>
  <c r="G12" i="37"/>
  <c r="F12" i="37"/>
  <c r="H11" i="37"/>
  <c r="G11" i="37"/>
  <c r="F11" i="37"/>
  <c r="H10" i="37"/>
  <c r="G10" i="37"/>
  <c r="F10" i="37"/>
  <c r="H9" i="37"/>
  <c r="G9" i="37"/>
  <c r="F9" i="37"/>
  <c r="H7" i="37"/>
  <c r="G7" i="37"/>
  <c r="F7" i="37"/>
  <c r="H6" i="37"/>
  <c r="G6" i="37"/>
  <c r="F6" i="37"/>
  <c r="H5" i="37"/>
  <c r="G5" i="37"/>
  <c r="F5" i="37"/>
  <c r="H4" i="37"/>
  <c r="G4" i="37"/>
  <c r="F4" i="37"/>
  <c r="E27" i="37"/>
  <c r="E21" i="37"/>
  <c r="E8" i="37"/>
  <c r="E28" i="37" s="1"/>
  <c r="H27" i="37" l="1"/>
  <c r="G8" i="37"/>
  <c r="H8" i="37"/>
  <c r="F21" i="37"/>
  <c r="G21" i="37"/>
  <c r="H21" i="37"/>
  <c r="F27" i="37"/>
  <c r="G27" i="37"/>
  <c r="F8" i="37"/>
  <c r="F28" i="37" l="1"/>
  <c r="H28" i="37"/>
  <c r="G28" i="37"/>
</calcChain>
</file>

<file path=xl/sharedStrings.xml><?xml version="1.0" encoding="utf-8"?>
<sst xmlns="http://schemas.openxmlformats.org/spreadsheetml/2006/main" count="918" uniqueCount="677">
  <si>
    <t>직무 분리</t>
  </si>
  <si>
    <t>보호구역 내 작업</t>
  </si>
  <si>
    <t>운영환경 이관</t>
  </si>
  <si>
    <t>접근권한 검토</t>
  </si>
  <si>
    <t>사용자 인증</t>
  </si>
  <si>
    <t>악성코드 통제</t>
  </si>
  <si>
    <t>패치관리</t>
  </si>
  <si>
    <t>분야</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</si>
  <si>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</si>
  <si>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</si>
  <si>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</si>
  <si>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</si>
  <si>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</si>
  <si>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</si>
  <si>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</si>
  <si>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</si>
  <si>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개인정보 목적 외 이용 및 제공</t>
  </si>
  <si>
    <t>암호키 관리</t>
    <phoneticPr fontId="1" type="noConversion"/>
  </si>
  <si>
    <t>인터넷 접속 통제</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</si>
  <si>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</si>
  <si>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</si>
  <si>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</si>
  <si>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</si>
  <si>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</si>
  <si>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</si>
  <si>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</si>
  <si>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</si>
  <si>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</si>
  <si>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</si>
  <si>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</si>
  <si>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</si>
  <si>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</si>
  <si>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</si>
  <si>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</si>
  <si>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</si>
  <si>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</si>
  <si>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</si>
  <si>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</si>
  <si>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</si>
  <si>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</si>
  <si>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</si>
  <si>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</si>
  <si>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</si>
  <si>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</si>
  <si>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</si>
  <si>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</si>
  <si>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</si>
  <si>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</si>
  <si>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</si>
  <si>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</si>
  <si>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</si>
  <si>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</si>
  <si>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</si>
  <si>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</si>
  <si>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</si>
  <si>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</si>
  <si>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</si>
  <si>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</si>
  <si>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</si>
  <si>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</si>
  <si>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</si>
  <si>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</si>
  <si>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</si>
  <si>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</si>
  <si>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</si>
  <si>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</si>
  <si>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</si>
  <si>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</si>
  <si>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</si>
  <si>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</si>
  <si>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</si>
  <si>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</si>
  <si>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</si>
  <si>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</si>
  <si>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</si>
  <si>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</si>
  <si>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</si>
  <si>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</si>
  <si>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</si>
  <si>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</si>
  <si>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</si>
  <si>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</si>
  <si>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</si>
  <si>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3.1.2</t>
  </si>
  <si>
    <t>3.1.3</t>
  </si>
  <si>
    <t>3.1.4</t>
  </si>
  <si>
    <t>3.1.5</t>
  </si>
  <si>
    <t>3.2.2</t>
  </si>
  <si>
    <t>3.2.3</t>
  </si>
  <si>
    <t>3.2.4</t>
  </si>
  <si>
    <t>3.3.2</t>
  </si>
  <si>
    <t>3.3.3</t>
  </si>
  <si>
    <t>3.3.4</t>
  </si>
  <si>
    <t>3.4.2</t>
  </si>
  <si>
    <t>3.5.2</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</si>
  <si>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</si>
  <si>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</si>
  <si>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</si>
  <si>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</si>
  <si>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</si>
  <si>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</si>
  <si>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</si>
  <si>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</si>
  <si>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</si>
  <si>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</si>
  <si>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</si>
  <si>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</si>
  <si>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</si>
  <si>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</si>
  <si>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</si>
  <si>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</si>
  <si>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</si>
  <si>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</si>
  <si>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</si>
  <si>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</si>
  <si>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</si>
  <si>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</si>
  <si>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</si>
  <si>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2.4.4</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</si>
  <si>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</si>
  <si>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</si>
  <si>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</si>
  <si>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</si>
  <si>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</si>
  <si>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</si>
  <si>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</si>
  <si>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</si>
  <si>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</si>
  <si>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</si>
  <si>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</si>
  <si>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</si>
  <si>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</si>
  <si>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</si>
  <si>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조직의 유지관리</t>
    <phoneticPr fontId="1" type="noConversion"/>
  </si>
  <si>
    <t>보안 서약</t>
    <phoneticPr fontId="1" type="noConversion"/>
  </si>
  <si>
    <t>경영진의 참여</t>
    <phoneticPr fontId="1" type="noConversion"/>
  </si>
  <si>
    <t>3.1.7</t>
  </si>
  <si>
    <t>로그 및 접속기록 관리</t>
    <phoneticPr fontId="1" type="noConversion"/>
  </si>
  <si>
    <t>로그 및 접속기록 점검</t>
    <phoneticPr fontId="1" type="noConversion"/>
  </si>
  <si>
    <t>재해 복구 시험 및 개선</t>
    <phoneticPr fontId="1" type="noConversion"/>
  </si>
  <si>
    <t>2.5.6</t>
    <phoneticPr fontId="1" type="noConversion"/>
  </si>
  <si>
    <t>3.2.5</t>
  </si>
  <si>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</si>
  <si>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</si>
  <si>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</si>
  <si>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</si>
  <si>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</si>
  <si>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</si>
  <si>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보호구역은 인가된 사람만이 출입하도록 통제하고 책임추적성을 확보할 수 있도록 출입 및 접근 이력을 주기적으로 검토하여야 한다.</t>
    <phoneticPr fontId="1" type="noConversion"/>
  </si>
  <si>
    <t>보호구역 지정</t>
    <phoneticPr fontId="1" type="noConversion"/>
  </si>
  <si>
    <t>2.4.7</t>
  </si>
  <si>
    <t>정보시스템 보호</t>
    <phoneticPr fontId="1" type="noConversion"/>
  </si>
  <si>
    <t>보호설비 운영</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</si>
  <si>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</si>
  <si>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</si>
  <si>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</si>
  <si>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</si>
  <si>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 xml:space="preserve">2.3. </t>
    <phoneticPr fontId="1" type="noConversion"/>
  </si>
  <si>
    <t>물리 보안</t>
    <phoneticPr fontId="1" type="noConversion"/>
  </si>
  <si>
    <t xml:space="preserve">2.4. </t>
    <phoneticPr fontId="1" type="noConversion"/>
  </si>
  <si>
    <t xml:space="preserve">접근통제 </t>
    <phoneticPr fontId="1" type="noConversion"/>
  </si>
  <si>
    <t>시스템 및 서비스 운영관리</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</si>
  <si>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</si>
  <si>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</si>
  <si>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</si>
  <si>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</si>
  <si>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</si>
  <si>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 xml:space="preserve">1.4. </t>
    <phoneticPr fontId="1" type="noConversion"/>
  </si>
  <si>
    <t>상세내용</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</si>
  <si>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</si>
  <si>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</si>
  <si>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</si>
  <si>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</si>
  <si>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</si>
  <si>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</si>
  <si>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</si>
  <si>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</si>
  <si>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</si>
  <si>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</si>
  <si>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</si>
  <si>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</si>
  <si>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</si>
  <si>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</si>
  <si>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</si>
  <si>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</si>
  <si>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</si>
  <si>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</si>
  <si>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</si>
  <si>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</si>
  <si>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</si>
  <si>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</si>
  <si>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외부자 현황 관리</t>
    <phoneticPr fontId="1" type="noConversion"/>
  </si>
  <si>
    <t>보조저장매체 관리</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</si>
  <si>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</si>
  <si>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</si>
  <si>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</si>
  <si>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</si>
  <si>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</si>
  <si>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</si>
  <si>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</si>
  <si>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</si>
  <si>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</si>
  <si>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</si>
  <si>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선정한 보호대책은 이행계획에 따라 효과적으로 구현하고, 경영진은 이행결과의 정확성과 효과성 여부를 확인하여야 한다.</t>
    <phoneticPr fontId="1" type="noConversion"/>
  </si>
  <si>
    <t>보호대책의 실제 운영 또는 시행할 부서 및 담당자를 파악하여 관련 내용을 공유하고 교육하여 지속적으로 운영되도록 하여야 한다.</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</si>
  <si>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</si>
  <si>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</si>
  <si>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</si>
  <si>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</si>
  <si>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</si>
  <si>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</si>
  <si>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정보자산의 용도와 중요도에 따른 취급 절차 및 보호대책을 수립·이행하고, 자산별 책임소재를 명확히 정의하여 관리하여야 한다.</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</si>
  <si>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</si>
  <si>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</si>
  <si>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</si>
  <si>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</si>
  <si>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</si>
  <si>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 xml:space="preserve">임직원 및 관련 외부자가 법령, 규제 및 내부정책을 위반한 경우 이에 따른 조치 절차를 수립·이행하여야 한다. </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</si>
  <si>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</si>
  <si>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</si>
  <si>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</si>
  <si>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</si>
  <si>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</si>
  <si>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</si>
  <si>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</si>
  <si>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보호구역 내에서의 비인가행위 및 권한 오·남용 등을 방지하기 위한 작업 절차를 수립·이행하고, 작업 기록을 주기적으로 검토하여야 한다.</t>
    <phoneticPr fontId="1" type="noConversion"/>
  </si>
  <si>
    <t>보호구역 내 정보시스템, 모바일 기기, 저장매체 등에 대한 반출입 통제절차를 수립·이행하고 주기적으로 검토하여야 한다.</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</si>
  <si>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</si>
  <si>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</si>
  <si>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</si>
  <si>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</si>
  <si>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</si>
  <si>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</si>
  <si>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</si>
  <si>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</si>
  <si>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</si>
  <si>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</si>
  <si>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암호키의 안전한 생성·이용·보관·배포·파기를 위한 관리 절차를 수립·이행하고, 필요 시 복구방안을 마련하여야 한다.</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</si>
  <si>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</si>
  <si>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</si>
  <si>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 xml:space="preserve">개발 및 시험 시스템은 운영시스템에 대한 비인가 접근 및 변경의 위험을 감소시키기 위하여 원칙적으로 분리하여야 한다. </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</si>
  <si>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</si>
  <si>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소스 프로그램은 인가된 사용자만이 접근할 수 있도록 관리하고, 운영환경에 보관하지 않는 것을 원칙으로 하여야 한다.</t>
    <phoneticPr fontId="1" type="noConversion"/>
  </si>
  <si>
    <t>신규 도입·개발 또는 변경된 시스템을 운영환경으로 이관할 때는 통제된 절차를 따라야 하고, 실행코드는 시험 및 사용자 인수 절차에 따라 실행되어야 한다.</t>
    <phoneticPr fontId="1" type="noConversion"/>
  </si>
  <si>
    <t>정보시스템 관련 자산의 모든 변경내역을 관리할 수 있도록 절차를 수립·이행하고, 변경 전 시스템의 성능 및 보안에 미치는 영향을 분석하여야 한다.</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</si>
  <si>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</si>
  <si>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</si>
  <si>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</si>
  <si>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정보자산의 재사용과 폐기 과정에서 개인정보 및 중요정보가 복구·재생되지 않도록 안전한 재사용 및 폐기 절차를 수립·이행하여야 한다.</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</si>
  <si>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</si>
  <si>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</si>
  <si>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</si>
  <si>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</si>
  <si>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</si>
  <si>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</si>
  <si>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</si>
  <si>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</si>
  <si>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</si>
  <si>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</si>
  <si>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</si>
  <si>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</si>
  <si>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</si>
  <si>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</si>
  <si>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</si>
  <si>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서버, 네트워크시스템 등 정보시스템에 접근을 허용하는 사용자, 접근제한 방식, 안전한 접근수단 등을 정의하여 통제하여야 한다.</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</si>
  <si>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</si>
  <si>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</si>
  <si>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</si>
  <si>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</si>
  <si>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</si>
  <si>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</si>
  <si>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</si>
  <si>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관리체계 운영</t>
    <phoneticPr fontId="1" type="noConversion"/>
  </si>
  <si>
    <t>현황 및
흐름분석</t>
    <phoneticPr fontId="1" type="noConversion"/>
  </si>
  <si>
    <t>관리체계 기반 마련</t>
    <phoneticPr fontId="1" type="noConversion"/>
  </si>
  <si>
    <t>관리체계 점검 및
개선</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</si>
  <si>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</si>
  <si>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</si>
  <si>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N</t>
    <phoneticPr fontId="1" type="noConversion"/>
  </si>
  <si>
    <t>N/A</t>
  </si>
  <si>
    <t>ISMS-P</t>
  </si>
  <si>
    <t>외부자
보안</t>
    <phoneticPr fontId="1" type="noConversion"/>
  </si>
  <si>
    <t>인증 및
권한관리</t>
    <phoneticPr fontId="1" type="noConversion"/>
  </si>
  <si>
    <t>정보시스템 도입 및
개발 보안</t>
    <phoneticPr fontId="1" type="noConversion"/>
  </si>
  <si>
    <t>시스템 및 서비스
보안관리</t>
    <phoneticPr fontId="1"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</si>
  <si>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1" type="noConversion"/>
  </si>
  <si>
    <r>
      <rPr>
        <b/>
        <sz val="13"/>
        <color rgb="FFFF0000"/>
        <rFont val="맑은 고딕"/>
        <family val="3"/>
        <charset val="129"/>
      </rPr>
      <t>①</t>
    </r>
    <r>
      <rPr>
        <b/>
        <sz val="13"/>
        <color theme="1"/>
        <rFont val="맑은 고딕"/>
        <family val="3"/>
        <charset val="129"/>
        <scheme val="minor"/>
      </rPr>
      <t>운영여부</t>
    </r>
    <phoneticPr fontId="1"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</si>
  <si>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1"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</si>
  <si>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1" type="noConversion"/>
  </si>
  <si>
    <t>개인정보 수집 시 보호조치</t>
  </si>
  <si>
    <t>개인정보는 적법하고 정당하게 수집ㆍ이용하여야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</si>
  <si>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t>3.1.1</t>
  </si>
  <si>
    <t xml:space="preserve">3.1. </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</si>
  <si>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</si>
  <si>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</si>
  <si>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주민등록번호 처리 제한</t>
  </si>
  <si>
    <t>주민등록번호는 법적 근거가 있는 경우를 제외하고는 수집ㆍ이용 등 처리할 수 없으며, 주민등록번호의 처리가 허용된 경우라 하더라도 인터넷 홈페이지 등에서 대체수단을 제공하여야 한다.</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</si>
  <si>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</si>
  <si>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</si>
  <si>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</si>
  <si>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</si>
  <si>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3.1.6</t>
  </si>
  <si>
    <t xml:space="preserve">영상정보처리기기 설치ㆍ운영 </t>
  </si>
  <si>
    <t>고정형 영상정보처리기기를 공개된 장소에 설치ㆍ운영하거나 이동형 영상정보처리기기를 공개된 장소에서 업무를 목적으로 운영하는 경우 설치 목적 및 위치에 따라 법적 요구사항을 준수하고, 적절한 보호대책을 수립ㆍ이행하여야 한다.</t>
  </si>
  <si>
    <t>마케팅 목적의 개인정보 수집ㆍ이용</t>
  </si>
  <si>
    <t>재화나 서비스의 홍보, 판매 권유, 광고성 정보전송 등 마케팅 목적으로 개인정보를 수집ㆍ이용하는 경우 그 목적을 정보주체가 명확하게 인지할 수 있도록 고지하고 동의를 받아야 한다.</t>
  </si>
  <si>
    <t xml:space="preserve">3.2. </t>
  </si>
  <si>
    <t>개인정보 보유 및 이용 시 보호조치</t>
  </si>
  <si>
    <t>3.2.1</t>
  </si>
  <si>
    <t>개인정보 현황관리</t>
  </si>
  <si>
    <t>수집ㆍ보유하는 개인정보의 항목, 보유량, 처리 목적 및 방법, 보유기간 등 현황을 정기적으로 관리하여야 하며, 공공기관의 경우 이를 법률에서 정한 관계기관의 장에게 등록하여야 한다.</t>
  </si>
  <si>
    <t>개인정보 품질보장</t>
  </si>
  <si>
    <t>수집된 개인정보는 처리 목적에 필요한 범위에서 개인정보의 정확성ㆍ완전성ㆍ최신성이 보장되도록 정보주체에게 관리절차를 제공하여야 한다.</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</si>
  <si>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</si>
  <si>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</si>
  <si>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개인정보는 수집 시의 정보주체에게 고지ㆍ동의를 받은 목적 또는 법령에 근거한 범위 내에서만 이용 또는 제공하여야 하며, 이를 초과하여 이용ㆍ제공하려는 때에는 정보주체의 추가 동의를 받거나 관계 법령에 따른 적법한 경우인지 확인하고 적절한 보호대책을 수립ㆍ이행하여야 한다.</t>
  </si>
  <si>
    <t>가명정보 처리</t>
  </si>
  <si>
    <t>가명정보를 처리하는 경우 목적제한, 결합제한, 안전조치, 금지의무 등 법적 요건을 준수하고 적정 수준의 가명처리를 보장할 수 있도록 가명처리 절차를 수립ㆍ이행하여야 한다.</t>
  </si>
  <si>
    <t xml:space="preserve">3.3. </t>
  </si>
  <si>
    <t>개인정보 제공 시 보호조치</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</si>
  <si>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</si>
  <si>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</si>
  <si>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수립ㆍ이행하여야 한다.</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</si>
  <si>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</si>
  <si>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</si>
  <si>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영업의 양도 등에 따른 개인정보 이전</t>
  </si>
  <si>
    <t>영업의 양도ㆍ합병 등으로 개인정보를 이전하거나 이전받는 경우 정보주체 통지 등 적절한 보호조치를 수립ㆍ이행하여야 한다.</t>
  </si>
  <si>
    <t>개인정보 국외이전</t>
  </si>
  <si>
    <t>개인정보를 국외로 이전하는 경우 국외 이전에 대한 동의, 관련 사항에 대한 공개 등 적절한 보호조치를 수립ㆍ이행하여야 한다.</t>
  </si>
  <si>
    <t xml:space="preserve">3.4. </t>
  </si>
  <si>
    <t>개인정보 파기 시 보호조치</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</si>
  <si>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</si>
  <si>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</si>
  <si>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</si>
  <si>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처리목적 달성 후 보유 시 조치</t>
  </si>
  <si>
    <t>개인정보의 보유기간 경과 또는 처리목적 달성 후에도 관련 법령 등에 따라 파기하지 아니하고 보존하는 경우에는 해당 목적에 필요한 최소한의 항목으로 제한하고 다른 개인정보와 분리하여 저장ㆍ관리하여야 한다.</t>
  </si>
  <si>
    <t xml:space="preserve">3.5. </t>
  </si>
  <si>
    <t>정보주체 권리보호</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</si>
  <si>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</si>
  <si>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</si>
  <si>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</si>
  <si>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정보주체 권리보장</t>
  </si>
  <si>
    <t>정보주체가 개인정보의 열람, 정정ㆍ삭제, 처리정지, 이의제기, 동의철회 등 요구를 수집 방법ㆍ절차보다 쉽게 할 수 있도록 권리행사 방법 및 절차를 수립ㆍ이행하고, 정보주체의 요구를 받은 경우 지체 없이 처리하고 관련 기록을 남겨야 한다. 또한 정보주체의 사생활 침해, 명예훼손 등 타인의 권리를 침해하는 정보가 유통되지 않도록 삭제 요청, 임시조치 등의 기준을 수립ㆍ이행하여야 한다.</t>
  </si>
  <si>
    <t>3.5.3</t>
  </si>
  <si>
    <t>정보주체에 대한 통지</t>
  </si>
  <si>
    <t>개인정보의 이용ㆍ제공 내역 등 정보주체에게 통지하여야 할 사항을 파악하여 그 내용을 주기적으로 통지하여야 한다.</t>
  </si>
  <si>
    <t>암호화
적용</t>
    <phoneticPr fontId="1" type="noConversion"/>
  </si>
  <si>
    <t>사고 예방 및 대응</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</si>
  <si>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</si>
  <si>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</si>
  <si>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</si>
  <si>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출입통제</t>
    <phoneticPr fontId="1" type="noConversion"/>
  </si>
  <si>
    <t>비밀번호 관리</t>
    <phoneticPr fontId="1" type="noConversion"/>
  </si>
  <si>
    <t>이상행위 분석 및 모니터링</t>
    <phoneticPr fontId="1" type="noConversion"/>
  </si>
  <si>
    <t>가. 관리체계 수립 및 운영</t>
    <phoneticPr fontId="1" type="noConversion"/>
  </si>
  <si>
    <t>나. 보호대책 요구사항</t>
    <phoneticPr fontId="1" type="noConversion"/>
  </si>
  <si>
    <t>다. 개인정보 처리 단계별 요구사항</t>
    <phoneticPr fontId="1" type="noConversion"/>
  </si>
  <si>
    <t>개인정보 수집ㆍ이용</t>
    <phoneticPr fontId="1" type="noConversion"/>
  </si>
  <si>
    <t>재해ㆍ재난 대비 안전조치</t>
    <phoneticPr fontId="1" type="noConversion"/>
  </si>
  <si>
    <t>외부자 보안</t>
    <phoneticPr fontId="1" type="noConversion"/>
  </si>
  <si>
    <t>인증 및 권한관리</t>
    <phoneticPr fontId="1" type="noConversion"/>
  </si>
  <si>
    <t>정보시스템 도입 및 개발 보안</t>
    <phoneticPr fontId="1" type="noConversion"/>
  </si>
  <si>
    <t xml:space="preserve"> 사고 예방 및 대응</t>
    <phoneticPr fontId="1" type="noConversion"/>
  </si>
  <si>
    <t>개인정보 보유 및 이용 시 보호조치</t>
    <phoneticPr fontId="1" type="noConversion"/>
  </si>
  <si>
    <t>개인정보 제공 시 보호조치</t>
    <phoneticPr fontId="1" type="noConversion"/>
  </si>
  <si>
    <t>개인정보 파기 시 보호조치</t>
    <phoneticPr fontId="1" type="noConversion"/>
  </si>
  <si>
    <t>정보주체 권리보호</t>
    <phoneticPr fontId="1" type="noConversion"/>
  </si>
  <si>
    <t>영역</t>
    <phoneticPr fontId="1" type="noConversion"/>
  </si>
  <si>
    <t>분야</t>
    <phoneticPr fontId="1" type="noConversion"/>
  </si>
  <si>
    <t>항목수</t>
    <phoneticPr fontId="1" type="noConversion"/>
  </si>
  <si>
    <t>운영여부</t>
    <phoneticPr fontId="1" type="noConversion"/>
  </si>
  <si>
    <t>Y</t>
    <phoneticPr fontId="1" type="noConversion"/>
  </si>
  <si>
    <t>N/A</t>
    <phoneticPr fontId="1" type="noConversion"/>
  </si>
  <si>
    <t>1.관리체계 수립 및 운영</t>
    <phoneticPr fontId="1" type="noConversion"/>
  </si>
  <si>
    <t>관리체계 점검 및 개선</t>
    <phoneticPr fontId="1" type="noConversion"/>
  </si>
  <si>
    <t>소계</t>
    <phoneticPr fontId="1" type="noConversion"/>
  </si>
  <si>
    <t>2. 보호대책 요구사항</t>
    <phoneticPr fontId="1" type="noConversion"/>
  </si>
  <si>
    <t>인적 보안</t>
    <phoneticPr fontId="1" type="noConversion"/>
  </si>
  <si>
    <t>2.6.</t>
    <phoneticPr fontId="1" type="noConversion"/>
  </si>
  <si>
    <t xml:space="preserve">접근통제 </t>
    <phoneticPr fontId="1" type="noConversion"/>
  </si>
  <si>
    <t>2.7.</t>
    <phoneticPr fontId="1" type="noConversion"/>
  </si>
  <si>
    <t>암호화 적용</t>
    <phoneticPr fontId="1" type="noConversion"/>
  </si>
  <si>
    <t>시스템 및 서비스 보안관리</t>
    <phoneticPr fontId="1" type="noConversion"/>
  </si>
  <si>
    <t xml:space="preserve">2.12. </t>
    <phoneticPr fontId="1" type="noConversion"/>
  </si>
  <si>
    <t>재해복구</t>
    <phoneticPr fontId="1" type="noConversion"/>
  </si>
  <si>
    <t>3. 개인정보 처리단계별 요구사항</t>
    <phoneticPr fontId="1" type="noConversion"/>
  </si>
  <si>
    <t xml:space="preserve">3.1. </t>
    <phoneticPr fontId="1" type="noConversion"/>
  </si>
  <si>
    <t>개인정보 수집 시 보호조치</t>
    <phoneticPr fontId="1" type="noConversion"/>
  </si>
  <si>
    <t xml:space="preserve">3.2. </t>
    <phoneticPr fontId="1" type="noConversion"/>
  </si>
  <si>
    <t xml:space="preserve">3.3. </t>
    <phoneticPr fontId="1" type="noConversion"/>
  </si>
  <si>
    <t xml:space="preserve">3.4. </t>
    <phoneticPr fontId="1" type="noConversion"/>
  </si>
  <si>
    <t xml:space="preserve">3.5. </t>
    <phoneticPr fontId="1" type="noConversion"/>
  </si>
  <si>
    <t>소계</t>
    <phoneticPr fontId="1" type="noConversion"/>
  </si>
  <si>
    <t>총계</t>
    <phoneticPr fontId="1" type="noConversion"/>
  </si>
  <si>
    <t>ISMS-P 운영명세서(기업명 : 신한DS)</t>
    <phoneticPr fontId="1" type="noConversion"/>
  </si>
  <si>
    <r>
      <rPr>
        <b/>
        <sz val="13"/>
        <color rgb="FFFF0000"/>
        <rFont val="맑은 고딕"/>
        <family val="3"/>
        <charset val="129"/>
      </rPr>
      <t>②</t>
    </r>
    <r>
      <rPr>
        <b/>
        <sz val="13"/>
        <color theme="1"/>
        <rFont val="맑은 고딕"/>
        <family val="3"/>
        <charset val="129"/>
        <scheme val="minor"/>
      </rPr>
      <t>인증
구분</t>
    </r>
    <phoneticPr fontId="1" type="noConversion"/>
  </si>
  <si>
    <t>「정보보안관리지침」
 제4조(정보보호 주관부서 구성) ①항
 제12조(정보보호위원회) ⑤항
 제13조(정보보호 정책 수립) ④항
 제17조(정보기술부문 계획 보고) ②항
 제18조(정보보호의 날 운영) ②항</t>
  </si>
  <si>
    <t>- 정보보호 조직도(전사 포함)
- 정보보보위원회 결과 보고
- 정보보호 규정/지침 개정 품의
- 정보보호 절차서 개정 품의
- 월간보안활동 보고</t>
  </si>
  <si>
    <t>정보보호최고책임자/개인정보보호책임자는 정보보호 주관본부의 본부장으로 임명하고 있으며, 최고경영자의 권한을 일부 위임받아 정보보호를 위한 예산과 인력을 승인할 수 있음
※ 정보보호최고책임자와 개인정보보호책임자는 정보보호본부 본부장이 겸직하고 있음</t>
  </si>
  <si>
    <t>「정보보안관리지침」
 제6조(정보보호최고책임자) ①항, ④항
「개인정보보호관리지침」
 제4조(개인정보보호책임자) ①항</t>
  </si>
  <si>
    <t>- 직제규정
- 임원 및 본부장 업무분장 안내 
- CISO_지정승인</t>
  </si>
  <si>
    <t>정보보호 및 개인정보보호의 실무적인 사항을 조정하기 위해 정보보호실무협의회((개인)정보보호담당자로 구성)를 구성/운영하며, 정보보호위원회((개인)정보보호관리자로 구성)를 통해 정보보호에 관한사항을 심의·의결·보고 하고 있음
 - 각 부서별 (개인)정보보호관리자 및 담당자를 지정하여 정보보호 관리체계를 운영하고 있음</t>
  </si>
  <si>
    <t>「정보보안관리지침」
 제7조(정보보호관리자)
 제8조(정보보호담당자)
 제9조(부서정보보호관리자)
 제10조(부서정보보호담당자)
 제11조(정보보호실무협의회)  ①항, ②항
 제12조(정보보호위원회) ①항,②항
「개인정보보호관리지침」
 제5조(개인정보보호관리자)
 제6조(개인정보보호담당자)
 제7조(개인정보 취급부서장)
 제8조(개인정보보호 조직)</t>
  </si>
  <si>
    <t>- 정보보호위원회 결과 보고
- 정보보호실무협의회</t>
  </si>
  <si>
    <t>조직의 (개인)정보보호 관리체계의 범위를 설정하고, 관련된 서비스의 현황을 문서화하여 관리하고 있음
 - 각 부서는 보유하고 있는 정보자산 목록을 작성/관리하고, 정보보호담당자는 자산관리대장에 대한 관리 및 통제를 실시하고 있음</t>
  </si>
  <si>
    <t>「정보보안관리지침」
 제8조(정보보호담당자) ②항 3호
 제10조(부서정보보호담당자) ③항 1호
「개인정보보호관리지침」
 제7조(개인정보 처리부서장) ①항</t>
  </si>
  <si>
    <t>- 정보자산목록
- 개인정보 흐름표
- ISMS-P 인증 범위 소개자료
 &gt; 개인정보 흐름도 포함
 &gt; 서비스 흐름도 포함
 &gt; 네트워크 구성도 포함
 &gt; 정보보호 조직도(전사 포함)</t>
  </si>
  <si>
    <t>(개인)정보보호 정책을 제·개정 시 정보보호위원회를 통해 변경 사항을 심의·의결하고 있으며, 최고경영자 및 정보보호최고책임자 승인 후에 임직원 및 관련자에게 공표하고 있음
 - 골드윙(사내포탈) 내 규정/법률에 개정된 정책을 게시
 - 전사공지를 통해 변경된 정보보호 정책을 공지하고 있음</t>
  </si>
  <si>
    <t>「정보보안관리지침」
 제13조(정보보호 정책 수립)
 제14조(정보보호 정책 공표)
 제15조(정보보호 정책 검토)
「개인정보보호관리지침」
 제11조(개인정보보호 정책 수립 및 운영)</t>
  </si>
  <si>
    <t>- 정보보호위원회
- 전사공지(골드윙)
- 정보보호 규정/지침 개정 품의</t>
  </si>
  <si>
    <t>최고책임자는 정보보호 조직(부서)을 구성하며, 정보기술부문 및 정보보호 운영 계획을 승인함으로 정보보호 관리체계가 구축/운영될 수 있도록 관리함
 - 정보보호호위원회에서 연간 정보기술부문 계획 및 전년도 결과를 심의·의결 하고 있음(정보보호위원회)
 - 정보보호위원회 결과를 최고경영자에게 보고하고 있음
 - '23년 1월 기준 정보기술부문의 20.0%를 정보보호 예산으로 배정
 - '23년 1월 기준 정보기술부문의 18.0%(11명)를 정보보호 인력으로 구성</t>
  </si>
  <si>
    <t>「정보보안관리지침」
 제4조(정보보호 주관부서 구성)
 제5조(정보보호 주관부서 운영) ④항
 제6조(정보보호최고책임자) ④항
 제16조(정보기술부문 계획 수립) ③항</t>
  </si>
  <si>
    <t>- 정보보호위원회 결과 보고</t>
  </si>
  <si>
    <t>정보시스템(서버, WEB/WAS, DBMS, 네트워크, 보안장비 등)을 목록화하여 관리하고 있으며, 기밀성/무결성/가용성을 기준으로 중요도를 산정하여 관리하고 있음
 - 정보시스템 변경 시 운영 담당자로부터 업데이트 된 현황을 받아, 목록을 업데이트 하고 있음</t>
  </si>
  <si>
    <t>「정보보안관리지침」
 제10조(부서정보보호담당자) ③항
 제38조(정보시스템 식별 및 관리) ①항, ②항, ③항, ④항, ⑥항</t>
  </si>
  <si>
    <t>- 정보자산목록</t>
  </si>
  <si>
    <t>정보서비스 및 개인정보처리 흐름도를 식별하고 있으며, 주기적으로 검토하여 문서를 현행화 하고 있음
 - 정보서비스 흐름도, 개인정보 흐름표, 개인정보 흐름도를 작성하여 관리하고 있음</t>
  </si>
  <si>
    <t>「정보보안관리지침」
 제38조(정보시스템 식별 및 관리) ①항, ②항, ③항, ④항, ⑥항
「개인정보보호관리지침」
 제45조(개인정보 흐름 분석) ①항, ②항</t>
  </si>
  <si>
    <t>- 개인정보 흐름도/흐름표</t>
  </si>
  <si>
    <t>매년 보안 취약점 진단 및 위험평가를 통하여, 위험을 식별하고 보호대책을 수립하고 있음. 위험평가 결과는 정보보호 최고책임자에게 보고하고 있음
 - '23년 06~08월 취약점 진단 사업을 통하여 취약점 진단 및 위험평가를 수행하였음
 - '23년 11월 전수조치 후 이행점검을 수행함
 ※ ISO27001 인증을 유지하고 있으며, '23년도 하반기 위험평가 진행</t>
  </si>
  <si>
    <t>「정보보안관리지침」
 제41조(위험관리 계획 수립)
 제42조(위험평가)
 제43조(보호대책 수립)</t>
  </si>
  <si>
    <t>- 취약점 진단 결과
- 위험평가 보고서
- 위험관리절차서
- 취약점점검절차서
- 개인정보 흐름도/흐름표</t>
  </si>
  <si>
    <t>식별된 위험은 위험도를 산정(자산가치,위협,취약성)하여 보호대책을 수립하며, 관리 및 이행점검을 실시하고 있음
 - 보호대책(조치계획)은 조치 일정/담당부서를 명시하여 관리하고 있음
 - 보호대책은 정보보호 최고책임자에게 보고하고 있음</t>
  </si>
  <si>
    <t>- 취약점 진단 결과
- 위험평가 보고서
- 위험관리절차서
- 취약점진단절차서
- 월간보안활동 보고</t>
  </si>
  <si>
    <t>위험평가를 통해 보호대책을 수립하였으며, 해당 내역(위험평가, 조치내역)을 경영진에 보고하고 있음</t>
  </si>
  <si>
    <t>- 취약점 진단 결과 
- 위험평가 보고서
- 정보보보위원회 결과 보고</t>
  </si>
  <si>
    <t>취약점 진단/위험평가 결과를 개발/운영/보안 담당자가 참석하여 취약점 현황 및 조치 관련 사항을 공유하고 있음</t>
  </si>
  <si>
    <t>「정보보안관리지침」
 제43조(보호대책 수립)
 제25조(정보보호 교육 수행)</t>
  </si>
  <si>
    <t>- 취약점 진단 결과 및 조치 사항 공유
- 정보보보위원회 결과 보고</t>
  </si>
  <si>
    <t>「정보보안관리지침」
 제12조(정보보호위원회) ①항,  ⑤항
 제18조(정보보호의 날 운영)</t>
  </si>
  <si>
    <t>- 정보보호위원회
- 월간보안활동 보고</t>
  </si>
  <si>
    <t>「정보보안관리지침」
 제121조(정보보호 감사)</t>
  </si>
  <si>
    <t>- 감사결과
- 규정/지침 개정 품의</t>
  </si>
  <si>
    <t>감사는 기능별로 재무감사, 준법감사, IT감사로 구분하고 있으며, 준법감사는 관련법령, 규정 등을 준수하고 있는지 상시적으로 감시하고 있음
 - 감사는 컴플라이언스팀에서 수행하고 있으며, 사무분장규정/감사직무규정을 통해 권한과 의무를 명시하고 있음
 - 감사 결과(수시 등)에 대해서는 경영진에게 보고하고 있음</t>
  </si>
  <si>
    <t>「감사직무규정」
 제4조(권한과 의무)
 제5조(감사의 구분)
 제15조(감사인의 의무)
 제16조(감사인의 권한)
「사무분장규정」
 제8조(컴플라이언스 Cell)</t>
  </si>
  <si>
    <t>- 감사결과
- 감사보고서</t>
  </si>
  <si>
    <t xml:space="preserve">수시 감사 결과 개선조치사항에 대해서 이행여부를 경영진에게 보고하고 관리하고 있음
 - 수시감사 결과 시 발견된 개선조치 사항에 대해 조치계획/조치부서/조치기한을 수립하여 관리하고 있음
   (매월 수시감사 실시) </t>
  </si>
  <si>
    <t>「감사직무규정」
 제4조(권한과 의무)
 제5조(감사의 구분)
 제15조(감사인의 의무)
 제16조(감사인의 권한)</t>
  </si>
  <si>
    <t>- 감사 조치요구사항
- 감사 조치요구사항 정리보고서</t>
  </si>
  <si>
    <t xml:space="preserve">매년 정보보호위원회를 개최하여 정보보호 운영 계획 등에 대해 심의/의결/보고 하고 있으며, 매월 보안점검을 실시하여 경영진에 보고하고 있음
 - 개인/정보보호 모니터링(정보보호의날, 퇴사자/개인정보 모니터링), 개인/정보보호 인증 대응, 개인/정보보안 교육 등에 관한 사항을 계획/보고하고 있음
</t>
    <phoneticPr fontId="1" type="noConversion"/>
  </si>
  <si>
    <t xml:space="preserve">정보보호 및 개인정보보호 관련 법적 요구사항에 대하여 매년 그룹 정보보안 컴플라이언스 점검(신한 지주 주관)을 받고 있음
 - 년간 수시감사(컴플라이언스팀) 계획을 수립하여 이행하고 있음
정보보호 및 개인정보보호 규정/지침 개정시 법적 요구사항을 반영하여 법률검토(컴플라이언스팀)를 진행하고 있음
</t>
    <phoneticPr fontId="1" type="noConversion"/>
  </si>
  <si>
    <t>「정보보안관리지침」
 제13조(정보보호 정책 수립) ①항, ②항
 제15조(정보보호 정책 검토) ①항, ②항</t>
  </si>
  <si>
    <t>- 정보보호 규정/지침 개정 품의
  (법률검토 포함)
- 정보보보위원회 결과 보고</t>
  </si>
  <si>
    <t xml:space="preserve">개인/정보보호 조직은 업무 R&amp;R을 통해 상호 협력하여 정보보호 업무를 수행하고 있음
 - 정보보호책임자 및 관련 담당자의 역할 및 책임을 직무기술서에 기술함
 - KPI 항목에 평가 항목을 추가하여 정보보호 관련 담당자에 대한 정보보호 활동에 대한 평가를 수행하고 있음 </t>
  </si>
  <si>
    <t>「정보보안관리지침」
 제4조(정보보호 주관부서 구성)
 제5조(정보보호 주관부서 운영)
 제6조(정보보호최고책임자)
 제7조(정보보호관리자)
 제8조(정보보호담당자)</t>
  </si>
  <si>
    <t>- 사무분장규정
- 조직의 유지관리
- 부서별 정보보호 담당자 현황
- (사내보안)업무분장현황</t>
  </si>
  <si>
    <t>식별된 정보자산에 대한 정보자산명, 용도, 책임자 및 관리자, 관리부서 등 정보자산의 정보를 확인할 수 있도록 목록으로 관리함
 - 정보자산관리지침에 자산중요도를 평가하도록 명시 되어 있고, 시행하고 있음
 - 정보자산은 분기별로 최신화하여 관리하고 있음</t>
  </si>
  <si>
    <t>「정보보안관리지침」
 제38조(정보시스템 식별 및 관리) ①항, ②항, ③항, ⑥항</t>
  </si>
  <si>
    <t>회사 내 중요 정보자산을 취급하는 직무를 분류하여 관리하도록 지침에 명시되어 있으며, 중요시스템을 지정하여 목록화하고 있음
 - 중요정보 취급자는 최소한으로 지정하고 있으며, 매월 직무자 현황을 검토하고 있음
 - 개인정보취급자를 지정하고 매월 보안 점검(모니터링 보고) 시 목록을 최신화 하고 있음</t>
  </si>
  <si>
    <t xml:space="preserve">「정보보안관리지침」
 제20조(주요 직무 분리)
「개인정보보호관리지침」
 제30조(개인정보취급자에 대한 감독)
</t>
  </si>
  <si>
    <t>- 월간보안활동 보고
   *주요 단말 관리자, 개인정보 취급자 등</t>
  </si>
  <si>
    <t>각 업무별 직무기술서를 정의하고, 관련 지침 등에 역할 및 업무처리절차 등을 명시하고 있음
 - 보안은 보안컨설팅팀에서 수행하고 있음 
 - 서비스별 담당자를 분리하여 운영하고 있으며, 개발/운영 시스템 분리운영 및 보안대책(사용자 접근통제-계정관리솔루션-형상관리 상호견제체계 등)을 수립하여 운영하고 있음</t>
  </si>
  <si>
    <t>- 팀 정의서
- 사무분장규정</t>
  </si>
  <si>
    <t>임직원에 대해 정보보호서약서 등을 징구하여 관리하고 있음
 - 입사 시 보안서약서 및 개인정보 비밀유지 서약서, 연 1회 NEXT(e-HR)를 통해 보안서약서 징구함
 - 수행 인력 투입/철수 시 각 인력에 대하여 정보보호서약서를 작성받음
 - 퇴직 시에도 정보보호서약서를 징구함
 - 정보보호서약서 및 비밀유지서약서는 물리적으로 안전한 장소에 보관하고 있음(인사팀에서 시건장치가 있는 부서전용 캐비닛에 보관 중임)</t>
  </si>
  <si>
    <t>「정보보안관리지침」
 제21조(외주인력 관리방안) ①항, ②항, ③항
 제22조(보안서약서 징구)
 제89조(외주개발 계약)
「개인정보보호관리지침」
 제31조(비밀유지)</t>
  </si>
  <si>
    <t>- 보안서약서 양식 및 샘플(임직원, 외주직원)
- NEXT 서약서 징구(보안서약서)</t>
  </si>
  <si>
    <t>정보보호 교육은 수립된 계획에 따라 정보보호관리체계 범위 내 임직원을 대상으로 연 1회 이상 정보보호 교육을 수행하도록 함
 - 연간 (개인)정보보호 교육 계획 수립 후 '정보보호위원회'에 보고 하고 있음 
 - 신규 입사자는 입사시 정보보호 교육을 진행하고 있으며, 외부직원은 투입된 인력에 대해 교육을 실시함
 - 정보보호 온라인 교육을 연 1회 전 임직원 대상으로 진행하고 있음
 - 정보보호 교육 시행 후 교육 참가확인서를 기재하도록 하고 있으며, 교육 내용의 적정성과 효과성을 평가하기 위한 교육 설문서를 수령하여 차기 교육에 반영할 수 있도록 함</t>
  </si>
  <si>
    <t>「정보보안관리지침」
 제24조(정보보호 교육 계획 수립)
 제25조(정보보호 교육 수행)
 제26조(정보보호 교육 결과 보고)
「개인정보보호관리지침」
 제35조(개인정보 분실, 유출 및 오남용 등 보고) ②항
 제43조(개인정보 교육 수립 및 실시)</t>
  </si>
  <si>
    <t>- 제1회 정보보호위원회
   : 안건3 - (개인)정보보호 연간 계획
- 온라인 (개인)정보보호 교육
- 신입직원 (개인)정보보호 교육
- 외주인력 (개인)정보보호 교육</t>
  </si>
  <si>
    <t>부서이동 및 직무변경, 퇴직 시 관리절차를 수립하여 운영함
 - 그룹웨어 인사 게시판을 통해 인사변동 정보를 공유함
 - 퇴직자 발생 시 자산반납내역서와 보안체크리스트를 통해 자산 반납, 시스템 접근권한 삭제 등의 조치를 수행하고 있음</t>
  </si>
  <si>
    <t>「정보보안관리지침」
 제27조(퇴직 시 보안관리) ④항
 제29조(외주인력 계약 종료 시 보안) ①항
「개인정보보호관리지침」
 제33조(안전조치의무) ①항</t>
  </si>
  <si>
    <t>- 사내보안일일업무보고
 : 퇴사자/부서 이동자 계정 및 권한 관리
- DS 사내 월간 보안점검 결과
 : 2.퇴사자 보안 점검
- 퇴사(예정)직원 통보서
 : 점검자 점검 결과</t>
  </si>
  <si>
    <t>정보보호에 대한 책무를 충실히 이행하지 않고 조직의 중요한 정보를 훼손하거나 누출한 경우 징계 기준에 따라 처벌절차를 수립하고 있음
 -징계 대상이 되는 위반사항을 발견할 경우 인사위원회에 안건을 상정할 수 있음
 - ADS를 통해 인가되지 않은 행위 등 정책 위반 시 소명을 발생시키며, 각 부서 담당자 승인 하에 제출하도록 프로세스가 구성되어 있음</t>
  </si>
  <si>
    <t>「정보보안관리지침」
 제118조(징계 기준 수립 목적 및 절차
 제119조(징계 구분 및 기준)
「상벌규정」
 제14조(징계 대상)
 제15조(징계구분 및 기준)</t>
  </si>
  <si>
    <t>- 상벌규정
- 내부통제이상징후탐지시스템(ADS)업무절차정의서</t>
  </si>
  <si>
    <t>개인정보 처리업무 보안관리 약정서에 근거하여, 수행 목적 외 개인정보 처리 금지 등에 관한 사항을 명시하고 있음
 - 위탁 계약 체결 및 종료 시 보안점검(보호대책, 파기 등)을 실시하고 있음
 - 위탁 계약 중 반기 1회 자체 보안진단을 회신 받아 검토하며, 연 1회 현장점검을 실시하고 있음</t>
  </si>
  <si>
    <t>「개인정보보관리지침」
 제26조(업무위탁에 따른 개인정보의 처리제한)
 제27조(수탁자의 선정 시 고려사항)
 제28조(위수탁 종료 시 관리)</t>
  </si>
  <si>
    <t>- 상/하반기 개인정보 수탁사 보안점검 결과 보고
- 수탁사 개인정보보호교육 내역
  : [2023년 하반기 개인정보 수탁사 보안점검 결과 보고] 5. 개인정보보호 교육 결과
- 보안관리 약정서(위탁업체 계약용)
- 외주인력 현황 관리</t>
  </si>
  <si>
    <t>외주업체와 계약 시 보안요구사항을 분석하여 계약서에 개인/정보보호 준수에 대한 항목을 반영함
 - 신한금융그룹표준계약서를 통하여 계약하고 있으며, 외부 서비스 이용 및 업무 위탁 시 정보보호 요구사항을 식별하고 있음</t>
  </si>
  <si>
    <t>「정보보안관리지침」
 제21조(외주인력 관리방안) ①항, ②항
 제89조(외주개발 계약)
 제90조(외주개발 통제)</t>
  </si>
  <si>
    <t>- 계약서
- 보안진단_계약서
- 개인정보 처리업무 약정서 및 사전보안진단</t>
  </si>
  <si>
    <t>외주 인력이 준수할 항목을 관리·감독하고, 정보보호의날에 외부인력을 포함하여 점검을 진행하고 있음
 - 외부인력에 대한 점검을 수행한 후 미흡한 부분에 대해 통지하여 조치하도록 하고 있음
 - 개인정보 처리업무의 제3자에게 재위탁 시 관련 보안 점검 현황 등을 검토하고 있음</t>
  </si>
  <si>
    <t>「정보보안관리지침」
 제21조(외주인력 관리방안)
「개인정보보호관리지침」
 제16조(개인정보를 제공받은 자의 이용·제공 제한)</t>
  </si>
  <si>
    <t>- 외주인력 점검체크리스트
- 외주인력 정보보호 교육자료
  : 교육 플랫폼 활용(당사 앱)
- 외주인력보안관리절차서
- DS 사내 월간 보안점검 결과
  : 3. 외주 인력 보안 점검</t>
  </si>
  <si>
    <t>외부자와의 계약만료 및 업무 종료 시 정보보호점검표에 따라 점검이 이뤄지며, 자산반납 및 업무 중 사용하였던  모든 접근계정을 삭제하였는가를 확인함
 - 외부자와의 계약만료, 업무종료, 담당자 변경에 따른 보안관리는 외부인력보안지침의 절차에 따라 정보보호점검을 수행함
 - 수탁자에게 제공된 개인정보가 업무 목적 달성 후 즉시 파기하며, 파기를 확인하고 있음</t>
  </si>
  <si>
    <t>「정보보호관리지침」
 제28조(외주인력 계약 종료 시 보안)
「개인정보보호관리지침」
 제28조(위수탁 종료시 관리)</t>
  </si>
  <si>
    <t>- 외부 정보보호점검표(종료 시)
- 보안서약서
- DS 사내 월간 보안점검 결과
  : 3. 외주 인력 보안 점검</t>
  </si>
  <si>
    <t>보호구역은 통제구역, 제한구역, 접견구역으로 구분하였으며, IDC의 출입은 업무담당자에게 사전 출입신청 요청 후 방문확인 및 출입카드를 교환하여 출입함
-신한금융그룹전산센터에는 24시간 상주하는 경비원이 배치되어 있으며, 모니터링을 위한 CCTV 설비 및 출입카드에 의한 출입통제시스템을 적용하여 운영함</t>
  </si>
  <si>
    <t>「정보보안관리지침」
 제29조 (보호구역 설정) ①항, ②항
 제30조(보호구역 출입 통제)</t>
  </si>
  <si>
    <t>- 통제구역출입통제절차서</t>
  </si>
  <si>
    <t xml:space="preserve">보호구역에 인가된 내부자는 출입통제시스템에 등록되어 출입이 허가됨
 -신한금융그룹전산센터 출입이 필요한 경우 외부자는 출입등록시스템 사전등록 및 관리자 승인이 있어야 하며, 출입 시 신분증 확인 및 스마트폰 보안스티커를 부착하고 담당자와 동행하여 출입하도록 되어 있음
 -신한금융그룹전산센터에서 매일 출입 통제 현황에 대해 확인하고 목록을 보관하고 있음
- 본사는 층별 통신실에 대해 상시 출입자 등록/관리를 수행하고 있으며,  외부직원의 출입이 필요한 경우 담당자 동행하여 출입하도록 하고 있음 </t>
  </si>
  <si>
    <t>「정보보안관리지침」
 제29조(보호구역 설정) ①항, ②항
 제30조(보호구역 출입 통제)</t>
  </si>
  <si>
    <t>- IDC 전산실 출입 절차
- 백년관 출입권한 신청/삭제
- 백년관 통신실 출입관리대장
- 정보자산 반/출입 신청서
- 출입카드 발급 신청서
- 월간운영보고서_직원만족팀</t>
  </si>
  <si>
    <t>정보시스템은 신한금융그룹전산센터에 배치하고 있음
 - 전산실 내 렉실장도가 배치되어 있으며, 전력 및 통신케이블은 외부에 노출되지 않도록 이중바닥에 설치되어 있으며, 외부에 노출된 케이블은 케이지로 감싸고 있음</t>
  </si>
  <si>
    <t>「정보보안관리지침」
 제34조(전산실 보호를 위한 운용관리 사항) ①항, ②항</t>
  </si>
  <si>
    <t>- 실사(죽전센터)
 &gt; IDC 내부 사진 촬영 불가</t>
  </si>
  <si>
    <t>신한금융그룹전산센터는 인재 및 자연재해 등에 대비한 설비를 갖추고 운영하고 있음
①소화기 및 소화설비(스프링쿨러, 하론가스)
②피뢰설비
③감시제어시스템(FMS)
④자가발전기(3일 보장)
⑤전력선 복수회선
⑥무정전전원장치(UPS) 30분 이상 공급 가능
⑦누수감지기
⑧항온항습기</t>
  </si>
  <si>
    <t>신한금융그룹전산센터 출입 시 출입등록을 사전에 신청하고 신분증 확인 및 담당자 동행하에 출입 가능하며, 전산실에 출입이 필요한 경우 전산실 출입 신청 및 출입권한이 부여된 담당자가 동행하여 출입</t>
  </si>
  <si>
    <t>「정보보안관리지침」
 제32조(통제구역 내 작업) ①항, ②항, ④항</t>
  </si>
  <si>
    <t>- IDC 전산실 작업</t>
  </si>
  <si>
    <t>정보시스템, 모바일기기, 저장매체 등을 반출입해야 할 경우 자산반출입 신청서를 작성하여 관리하고 있음</t>
  </si>
  <si>
    <t>「정보보안관리지침」
 제32조(통제구역 내 작업) ③항
 제33조(통제구역 내 모바일기기 반출·입)</t>
  </si>
  <si>
    <t>- 정보자산 반출입 신청서
  : 본사 및 IDC</t>
  </si>
  <si>
    <t>매월 정보보호의날을 통하여 사무용 기기 및 개인 업무 환경에 대한 점검을 수행하고 있음
 - 매월 정보보호의날을 통하여 공용공간, 업무용 PC 시건장치, 문서방치, 중요정보(패스워드) 방치 여부 등을 점검하고 있음
 - 개인정보 파일 관리여부를 EDLP, ADS를 통해 모니터링 하며, 위반사항에 대해서 소명요구하고 있음</t>
  </si>
  <si>
    <t>「정보보안관리지침」
 제18조(정보보호의 날 운영)
 제35조(개인업무 환경 보안)
 제36조(공용업무 환경 보안)
「개인정보보호관리지침」
 제33조(안전조치의무)</t>
  </si>
  <si>
    <t>- 월간 보안 활동 보고
- 정보보호의 날 시행 안내</t>
  </si>
  <si>
    <t>서비스별 업무 필요성에 따라 최소한의 권한을 부여하여 시스템을 운영하고 있음
 - 사용자 계정을 발급받기 위해서는 ITSM을 통해 사전 승인을 받아야 함
 - 정보시스템에 대한 권한은 사용자 계정, 부서, 사용자 그룹에 따라 설정하여 최소한의 권한만을 부여함
 - 개인정보취급자는 업무별 최소한의 권한으로 부여하였으며, 매월 개인정보 처리내역을 점검함</t>
  </si>
  <si>
    <t>「정보보안관리지침」
 제63조(시스템 계정 및 권한 관리)
 제64조(외주인력 시스템 계정 및 권환 관리)
「개인정보보호관리지침」
 제33조(안전조치의무)</t>
  </si>
  <si>
    <t>- 시스템 사용자 계정 신청 절차
- 월간 보안 활동 보고
  : 별첨 #1. 사내 개인정보취급자 현황</t>
  </si>
  <si>
    <t xml:space="preserve">서비스별 업무 필요성에 따라 계정명칭의 유일성을 지키며, 최소한의 권한을 부여하여 시스템을 운영하고 있음
 - 정보시스템 및 개인정보처리시스템 사용자별 계정 및 권한을 부여하고 있음
 - 접근통제 시스템(계정관리솔루션 등)을 도입 운영하고 있음 </t>
  </si>
  <si>
    <t>- 시스템 사용자 계정 신청 절차</t>
  </si>
  <si>
    <t>기본 로그인 실패 횟수는 5회로 제한되어 있으며, 5회 실패 시 세션을 차단하도록 되어 있고, 정기적인 기술적 취약점 진단을 통해 추가적인 적정성 검토를 수행하고 있음
 - 정보처리시스템 및 개인정보처리시스템은 외부에서의 원격접근을 차단하고 있음
 - 정보시스템 접근 시 2차 인증(OTP)을 통해 접근통제를 강화하여 사용하고 있음
 - 매년 정보시스템 취약점을 진단/조치하고 있음</t>
  </si>
  <si>
    <t>「정보보안관리지침」
 제68조(비밀번호 생성 및 관리) ③항, ④항, ⑤항, ⑥항
 제69조(중요정보시스템 인증 강화)
「개인정보보호관리지침」
 제33조(안전조치의무)</t>
  </si>
  <si>
    <t>- 취약점 진단 결과
  : 심사팀장님 별도 제공
- 시스템 OTP 인증화면
- 보안장비 관리자 접속 IP 통제</t>
  </si>
  <si>
    <t>사용자 패스워드는 영문 대문자, 영문 소문자, 숫자, 특수문자 등을 종합하여 2종류 이상 10자리 이상, 3종류 이상 8자리 이상으로 사용하도록 정책이 구현되어있음
 - 정보시스템 운영자 접근 시 2차 인증(OTP)을 통해 접근통제를 강화하여 사용하고 있음</t>
  </si>
  <si>
    <t>「정보보안관리지침」
 제68조(비밀번호 생성 및 관리) ①항, ②항
 제69조(중요정보시스템 인증 강화)
「개인정보보호관리지침」
 제33조(안전조치의무)</t>
  </si>
  <si>
    <t>- 시스템 비밀번호 관리 규칙</t>
  </si>
  <si>
    <t>특수 권한의 계정은 부여하지 않으며 관리자 계정은 최소한의 인원에게 부여하고 있으며, ITSM을 통해 계정을 관리하고 있음
 - 주기적으로(월1회) 계정 사용 여부를 점검함(월간 시스템 운영보고)</t>
  </si>
  <si>
    <t>「정보보안관리지침」
 제67조(관리자 및 특수 권한 관리)
「개인정보보호관리지침」
 제33조(안전조치의무)</t>
  </si>
  <si>
    <t>- 신한DS_월간시스템 운영보고
  : 1. 시스템 운영 요약 - 계정관리</t>
  </si>
  <si>
    <t>정보시스템 사용자 계정 생성/변경/회수에 관한 로그(이력)를 저장하고 정기적으로 백업하고 있음
 - 부여된 계정에 대해 주기적으로 점검을 진행하고 있음</t>
  </si>
  <si>
    <t>「정보보안관리지침」
 제63조(시스템계정 및 권한 관리) ②항, ⑤항, ⑥항, ⑦항, ⑧항, ⑨항, ⑩항
「개인정보보호관리지침」
 제33조(안전조치의무)</t>
  </si>
  <si>
    <t>- 시스템 계정 생성 및 점검 내역(ITSM)
- DS 사내 월간 보안점검 결과
  : 1-1. 정보보호의 날 보안 점검(정보시스템 사용자 계정 및 권한)</t>
  </si>
  <si>
    <t>각 서비스 영역에 따라 네트워크를 분리/구성하고 있으며, 방화벽 및 네트워크 ACL을 통해 접근통제를 실시하고 있음
 - 중요 시스템 영역에는 정보보호시스템을 통해 유해트래픽을 차단하고 있음
 - 내부 네트워크는 사설 IP를 할당하여 사용하고 있음
 - 사용자는 업무망, 개발망, 운영망, 외주(개발/업무)망 분리하여 관리하고 있음
 - 서버는 DMZ, 운영, 개발망으로 분리하여 접근통제를 수행하고 있음
 - 사내 네트워크 연결시, AD, NAC, 보안솔루션(PC필터 등)을 설치하여야 함</t>
  </si>
  <si>
    <t>「정보보안관리지침」
 제70조(내·외부 네트워크 분리)
 제71조(IP주소 관리대책)
 제72조(개발 및 운영 환경 분리)
 제83조(정보보호시스템 운영 및 통제)</t>
  </si>
  <si>
    <t>- 네트워크 구성도
- 정보자산목록</t>
  </si>
  <si>
    <t>정보시스템 별 접속권한자는 개별 계정으로 접속하며, 관리자IP 지정, 이중인증(OTP) 등 추가 접근통제를 마련하여 통제하고 있음
 - 서버 접속시 암호화된 통신수단(SSH)을 사용하며, 로그인실패횟수, 세션타임아웃이 설정되어 있음
 - 매월 시스템 월간보고서를 통해 불필요한 서비스를 제거하고 보고함</t>
  </si>
  <si>
    <t>「정보보안관리지침」
 제76조(서버 접근 통제)
 제79조(공개용 웹서버 관리)
 제80조(데이터베이스 접근통제)</t>
  </si>
  <si>
    <t>- 운영자 계정 통제
- 신한DS_월간시스템 운영보고
- DS 사내 월간 보안점검 결과
  : 정보보호의 날 보안 점검(정보시스템 사용자 계정 및 권한)</t>
  </si>
  <si>
    <t>내부 관리시스템은 외부에서의 접근이 제한되고 관련 업무 담당자의 IP로만 접근이 제한되어 있음
 -사용자별 각 정보에 대한 접근 통제는 업무 특성에 따라 차등 부여하고, 조회/출력/다운로드 등의 기능 또한 차등 부여하고 있음
 - 개인정보처리시스템은 개인별 차등권한을 부여하며, E-DLP를 통해 출력을 차단하고 있음(출력시 ADS를 통해 모니터링 및 소명을 받고 있음)
 - 정보시스템은 로그인 후 일정시간 입력이 없을 경우 세션이 차단되며, 동일 사용자의 세션수를 제한하고 있음
 - 관리자 페이지는 접근 통제(계정권한, 이중인증)를 실시하여 비인가자의 접근을 차단하고 있음</t>
  </si>
  <si>
    <t>「정보보안관리지침」
 제78조(애플리케이션 접근통제)
 제80조(데이터베이스 접근통제)</t>
  </si>
  <si>
    <t>- 운영자 계정 통제
- 신한DS_월간시스템 운영보고
- 월간보안활동 보고
- 이상징후탐지시스템(개인정보)</t>
  </si>
  <si>
    <t>중요정보에 해당 하는 테이블의 경우 별도 목록을 작성하여 관리하고 있음
 - 데이터베이스 접속에 대한 권한은 데이터베이스 관리자, 사용자로 구분하며, 업무 관련 담당자에 한하여 차등 권한을 부여하여 운영함
 - 데이터베이스는 공개서버(웹서버)와 분리하여 운영하고 있음</t>
  </si>
  <si>
    <t>「정보보안관리지침」
 제80조(데이터베이스 접근통제)</t>
  </si>
  <si>
    <t>- 데이터베이스 접근통제
- 협력사관리시스템 DB테이블
- 월간보안활도 보고</t>
  </si>
  <si>
    <t>내부망을 사용하는 PC는 무선AP차단솔루션(WIPS)로 무선 AP의 사용을 금지하고 있으며, 매체제어솔루션을 통해 스마트폰 테더링 등의 우회 접속도 차단하고 있음
 - 무선인터넷을 통해 업무망 등 내부 접근 불가</t>
  </si>
  <si>
    <t>「정보보안관리지침」
 제74조(무선네트워크 접근통제)</t>
  </si>
  <si>
    <t>- 무선통신망 점검 결과보고
- 무선랜 통제</t>
  </si>
  <si>
    <t>외부에서 내부 접근은 VPN 및 RemoteView 솔루션을 통해 업무망만 가능하며, 각 부서별(보안, 운영, 총무, 경영) 병렬합의 및 인가된(보호조치) PC로 가능함
 - 운영 및 개발의 원격 접근은 폐쇄망으로 접근 불가하며, 내부 네트워크를 통해 정보시스템을 접속하는 단말의 경우 IP/계정별 접근통제를 실시하고 있음</t>
  </si>
  <si>
    <t>「정보보안관리지침」
 제70조(내·외부 네트워크 분리) ②항</t>
  </si>
  <si>
    <t>- 운영자 계정 통제
- 재택근무 환경</t>
  </si>
  <si>
    <t>업무용 PC는 외부망과 분리하여 인터넷 접근을 차단하고 있음
 - 인터넷 PC는 내부망(업무/운영/개발/외주업무, 외주개발)PC와 네트워크를 분리하였으며, 웹키퍼(소만사)를 통해 유해사이트를 차단하고 있음
 - 인터넷망과 업무망간 파일 전송 시 망연계시스템을 이용하고 있음</t>
  </si>
  <si>
    <t xml:space="preserve">「정보보안관리지침」
 제73조(인터넷 접속 통제)
 제84조(단말기 접근통제 관리)
</t>
  </si>
  <si>
    <t>- 외부 인터넷 접근 통제</t>
  </si>
  <si>
    <t>- 암호화정책서 內 알고리즘 및 키길이 등 기준이 수립되어있음
 - 홈페이지는 개인정보를 처리하지 않으며, 협력사관리시스템의 경우 API 암호화를 통해 비밀번호를 안전한 알고리즘인 일방향 암호화하여 보관하고 있음
 - 대칭키 : 128bit 이상(SEED, ARIA 등), 공개키 : RSA 2048bit 이상, 일방향 : 256bit 이상(SHA)
 - 개인정보 및 중요정보의 저장, 전송, 전달 시 파일 암호화를 실시하여 수행하고 있음</t>
  </si>
  <si>
    <t xml:space="preserve">「정보보안관리지침」
 제58조(저장 시 암호화)
 제59조(전송 시 암호화)
「개인정보보호관리지침」
 제22조(고유식별정보 처리 제한)
 제23조(주민등록번호 처리 제한)
 제24조(생체정보 처리 제한)
「암호화 정책서」
 제7조(저장 시 암호화)
 제8조(전송 시 암호화)
 제10조(암호화 알고리즘 강도 선택기준)
</t>
  </si>
  <si>
    <t>- 월간보안활동 보고
    * 개인정보 제공 등에 관한 사항
- 암호화 정책서
- 일방향 암호화
- 개인정보 흐름표</t>
  </si>
  <si>
    <t>ㅇ 암호키 생성/이용 등에 있어, 다음과 같이 정책을 수립하고 이행하고 있음
 - 암호사용자는 부서정보보호담당자에게 승인을 득한 후 암호담당자에게 신청
 - 암호담당자는 적용대상의 정보를 고려하여 암호키를 생성하고 암호관리자에게 승인을 득 한 후 암호사용자에게 전달
 - 암호담당자는 생성된 암호키 손상 시 복구를 위한 별도의 매체에 저장 후 안전한 장소에 보관하고 있음</t>
  </si>
  <si>
    <t>「정보보안관리지침」
 제60조(암호화 프로그램 관리) ③항, ④항
 제61조(암호키 신청 및 발급)
「암호화정책서」
 제10조(암호화 알고리즘 강도 선택기준) ④항
 제12조(암호화 키 사용)
 제13조(암호화 키 폐기)</t>
  </si>
  <si>
    <t>- 암호화 정책서
- 암호키 관리대장</t>
  </si>
  <si>
    <t>정보시스템을 신규로 도입 시 절차가 명시되어 있으며, 보안성검토를 수행하여 정보보호 타당성을 점검하고 있음
 - 정보시스템 신규 도입 시 법적 요구사항과 회사 내규에 따른 보안요구사항을 정의하고 보안성검토를 통하여 설계단계에서 반영하고 있음</t>
  </si>
  <si>
    <t>「정보보안관리지침」
 제40조(정보시스템 설치) ②항, ③항, ④항, ⑥항
 제92조(보안 요구사항 분석) ②항, ③항</t>
  </si>
  <si>
    <t>- 보안성 검토 절차서
- 보안성 검토 결과
  : 권한관리 솔루션</t>
  </si>
  <si>
    <t>정보시스템 도입, 개발, 변경 관련하여 분석 설계 단계에서부터 보안요구사항을 정의하도록 하고 있음
 - 정보시스템 도입 관련하여 취약점 진단 및 보안성검토를 통하여 진행하고 있으며, 발견된 문제점에 대해서는 이행점검을 실시하고 있음</t>
  </si>
  <si>
    <t>개발보안 요건을 통한 확인과 검수시나리오를 통한 검수가 이뤄지며, 결함 발견시 결함관리대장을 통해 관리 및 조치가 이뤄짐
-개발/운영 시스템이 분리되어 운영되어 있으며, 형상관리시스템을 통해 개발이 완료된소스를 운영서버에 적용하고 있음</t>
  </si>
  <si>
    <t>「정보보안관리지침」
 제72조(개발 및 운영 환경 분리)</t>
  </si>
  <si>
    <t>- 네트워크 구성도
- 형상관리절차서</t>
  </si>
  <si>
    <t>정보시스템의 개발 및 시험 과정에서 실 운영데이터를 사용하지 않음
 - 실 운영 데이터는 시험환경에서 사용하지 않도록 하고 있으며, 테스트를 위한 시험데이터(garbage data)를 생성하여 사용하도록 하고 있음</t>
  </si>
  <si>
    <t>「정보보안관리지침」
 제95조(테스트 보안) ④항, ⑤항, ⑥항</t>
  </si>
  <si>
    <t>- 개발서버 DB 내역</t>
  </si>
  <si>
    <t>소스프로그램은 형상관리프로그램으로 관리하고 있으며, 접근은 관련 담당자로 최소화하여 부여하고 있음
 - 개발 또는 개선 이전의 시스템 소스 프로그램은 별도 보관하고 있음
 - 소스 프로그램은 운영환경이 아닌 시험환경에서 관리되고 있으며, 변경관리를 위해 형상관리시스템을 이용하여 통제 및 버전관리를 수행하고 있음</t>
  </si>
  <si>
    <t>「정보보안관리지침」
 제100조(프로그램 변경 기록 관리)</t>
  </si>
  <si>
    <t>- 형상관리절차서
- 소스코드 이관 이력</t>
  </si>
  <si>
    <t>운영 이관 시 상용화 절차를 통해 이루어지며, 테스트 완료 후 이상이 없음을 확인하여 실행하고, 문제 발생 시 원복 절차를 통해 이전 상태로 복구하여 운영함
 - 운영환경으로의 정보시스템 이관이 원활하게 이루어지지 않았을 경우 복귀 방안을 수립 적용함
 - 개발보안 요건 확인서 상 운영 이관 시 서비스 실행에 필요한 파일만 설치 여부를 확인하도록 하고 있음</t>
  </si>
  <si>
    <t>「정보보안관리지침」
 제96조(운영 환경 이관)</t>
  </si>
  <si>
    <t>- 형상관리절차서
- 이관 내역</t>
  </si>
  <si>
    <t>정보시스템 관련 자산의 변경은 관련 지침에 의하여 승인을 통해 이루어지도록 명시하고 있으며, 현재까지 자산에 대한 용도가 변경된 적은 없음
 - 정보시스템 용도 변경 시 영향 평가를 수행하도록 되어 있음</t>
  </si>
  <si>
    <t>「정보보안관리지침」
 제38조(정보시스템 식별 및 관리) ⑤항, ⑥항
 제40조(정보시스템 설치) ③항</t>
  </si>
  <si>
    <t>- 정보시스템 변경 및 삭제 신청
- 변경릴리즈관리절차서</t>
  </si>
  <si>
    <t>시스템 성능은 운용 콘솔 및 zabbix,모니터링 솔루션을 통해 임계치 설정 및 일일 점검·관리되고 있음
 - 정보시스템의 성능 및 용량이 임계치를 초과하는 경우 증설 계획을 수립해 구매계획서를 작성·품의하여 증설함
 - 장애 대응을 위한 관리 절차를 수립 운영중에 있으며, 원인 분석을 통해 재발방지 대책을 수립 및 이행하고 있음</t>
  </si>
  <si>
    <t>「정보보안관리지침」
 제47조(장애 관리)</t>
  </si>
  <si>
    <t>- 일일운영보고서(시스템 모니터링)
- 장애관리절차서</t>
  </si>
  <si>
    <t>시스템 백업은 관련 지침에 의해 백업 계획을 수립하여 주기적으로 수행하고 있음
 - 백업된 데이터의 적절성을 확인하기 위하여 정기적으로 복구 테스트를 진행하고 있음
 - 정보시스템은 죽전센터에서 운영하고 있으며, 백업 데이터는 본사(백년관)에 보관하고 있음</t>
  </si>
  <si>
    <t>「정보보안관리지침」
 제54조(백업 계획 수립)
 제55조(복구 계획 수립 및 테스트)</t>
  </si>
  <si>
    <t>- 백업 및 소산 설명
- 백업 복구 훈련
  : BCP 점검 결과 보고의 건
- 백업관리운영절차서
- 일일백업 현황
- 백업테잎 소산 목록</t>
  </si>
  <si>
    <t>전체 정보시스템 대상으로 이벤트 로깅이 구성되어 있으며, 별도 로그서버에 저장되도록 하고 있음
 - 별도 저장된 로그는 관련 업무담당자만이 접근할 수 있도록 최소화하여 관리함 
 - 개인정보처리시스템 접속 관련 로그는 1년 이상 보관하고 있음</t>
  </si>
  <si>
    <t>「정보보안관리지침」
 제49조(로그 관리)
「개인정보보호관리지침」
 제33조(안전조치위무) ①항6호</t>
  </si>
  <si>
    <t>- 로그관리솔루션 기록 및 삭제</t>
  </si>
  <si>
    <t>정보시스템 관련 오류 및 비인가접속과 과다조회등 특이사항이 발생할 경우 시스템 주요계정 접속내역 보고 및 월간보고서를 통해 보고하고 있음
 - 이상징후탐지시스템을 통해 오·남용을 실시간 탐지하고 있음
 - 개인정보처리시스템의 접속 로그는 월 1회 점검하고 있음</t>
  </si>
  <si>
    <t>「정보보안관리지침」
 제51조(접근 및 사용 모니터링)
「개인정보보호관리지침」
 제33조(안전조치위무) ①항6호</t>
  </si>
  <si>
    <t>- 시스템 접근 내역 점검(ITSM)
- 월간보안활동 보고</t>
  </si>
  <si>
    <t>내부 NTP 서버를 이용하여 시간동기화를 수행하고 있으며, 월 1회 점검하고 있음</t>
  </si>
  <si>
    <t>「정보보안관리지침」
 제49조(로그 관리) ⑦항</t>
  </si>
  <si>
    <t>- 월간 시스템 운영보고
  : 1. 시스템 운영 요약 - NTP현황</t>
  </si>
  <si>
    <t>정보기기 폐기 및 재사용 절차를 통하여 관리하고 있으며, 폐기 및 재사용내역은 정보자산폐기관리대장으로 관리하고 있음
 - 자체적으로 저장매체를 폐기할 경우 저장매체 폐기 관리대장에 기록하도록 하여 감사증적을 확보할 수 있도록 함
 - 매년 외부업체를 통해 정보자산을 감사자가 동행하여 폐기를 수행함</t>
  </si>
  <si>
    <t>「정보보안관리지침」
 제38조(정보시스템 식별 및 관리) ⑤항
 제86조(휴대용 저장매체 관리) ①항</t>
  </si>
  <si>
    <t>- 폐기확인서
- VM서버 삭제 처리 내역(ITSM)
- 업무용 등산 불용처리 품의
- 자산관리(신청/폐기)절차서</t>
  </si>
  <si>
    <t>정보보안센터에 각 보안장비의 셋팅, 변경 등에 대한 운영절차를 기록한 보안운영업무절차서 및 매뉴얼을 비치하여 참고·운영하고 있음
 - 보안시스템은 사용자 인증, 관리자 단말IP 접근통제를 통해 비인가자의 접근을 통제하고 있음
 - DDoS, IPS 등의 보안시스템에 대하여 모니터링을 수행하고 있으며, 비정상적인 활동 내역에 대해 검토를 수행함
 - 보안시스템별 정책(룰셋 등) 등록 신청 접수 시 신청서를 받아, 정책의 타당성 및 적적성을 검토하여 정책을 적용하고 있음
 - 보안시스템의 예외 정책 등록 시 내부 결제를 통해 진행하고 있으며, 예외 기간 경과 시 삭제하고 있음
 - 보안시스템에 설정되어 있는 보안정책에 대해 주기적으로 점검하고 있음</t>
  </si>
  <si>
    <t>「정보보안관리지침」
 제83조(정보보호시스템 운영 및 통제)</t>
  </si>
  <si>
    <t>- 보안운영업무정의서
- 보안운영업무절차서
- 보안시스템 정책 변경 신청서
- 통합관제 일일현황보고서
- 방화벽 정책 점검 현황</t>
  </si>
  <si>
    <t>Private 클라우드 시스템을 운영하고 있으며, 클라우드 서비스에 대한 보안성 검토를 수행하며, 관리자를 지정 하여 관리하고 있음
 - 모의침투훈련 및 보안성 심의를 통해 보안 통제 정책을 수립 이행하고 있음
 - 특이사항이 발생할 경우 일일업무보고를 통해 보고하고 있으며, 정기점검을 진행하여 보안 설정 및 운영 현황에 대한 적절성을 검토하고 있음</t>
  </si>
  <si>
    <t>「정보보안관리지침」
 제76조(서버 접근 통제)</t>
  </si>
  <si>
    <t>- 클라우드 시스템 운영</t>
  </si>
  <si>
    <t>공개서버는 내부 네트워크와 분리된 영역에 위치하고 있으며 방화벽 등의 정보보호시스템 및 네트워크 장비를 통해 보호되고 있음
 - 공개서버에 개인정보 및 중요정보를 게시하지 않음
 - 매년 취약점 진단 및 이행 조치를 진행하고 있음</t>
  </si>
  <si>
    <t>「정보보안관리지침」
 제79조(공개용 웹서버 관리)</t>
  </si>
  <si>
    <t>- 취약점 진단 결과
  : 심사팀장님 별도 제공
- 네트워크 구성도
- 월간보안활동 보고</t>
  </si>
  <si>
    <t>인증범위 內 전자상거래 및 핀테크 서비스가 존재하지 않으므로 해당사항 없음</t>
  </si>
  <si>
    <t>그룹사 파일 제공시 파일 암호화를 적용하고 있으며, 월간 개인정보모니터링 진행하고 있음
개인정보 위수탁 계약 전 사전 점검 및 개인정보 보안관리 약정서 체결, 통신구간 암호화 점검 등을을 통해 안전한 정보전송을 수행하고 있음</t>
  </si>
  <si>
    <t>「정보보안관리지침」
 제59조(전송시 암호화)</t>
  </si>
  <si>
    <t>- 수탁사 점검
- 개인정보 모니터링 결과보고</t>
  </si>
  <si>
    <t>업무용 단말기(PC, 노트북)에 NAC, DRM, DLP, PC필터, NetClient, 백신프로그램, 권한관리 솔루션을 설치하여 기기의 보안설정을 통제하고 있음
 - 업무용 단말기의 정보유출을 막기 위해 DLP 솔루션을 이용하며, PC필터 및 NetClient를 통해 무선망 사용 및 자료공유를 금지하고 있음
 - 업무용 모바일 기기의 분실, 도난 시 스윙 내 모바일 Device 환경 설정을 통해 접근을 차단하고 있으며, MDM을 통해 보안통제를 실시하고 있음
 - 매월 시행하는 정보보호의날에 접근통제에 대한 적절성을 점검하고 있음</t>
  </si>
  <si>
    <t>「정보보안관리지침」
 제84조(단말기 접근통제 관리)
 제85조(보안 프로그램 운영)</t>
  </si>
  <si>
    <t>- 월간보안활동 보고</t>
  </si>
  <si>
    <t xml:space="preserve">휴대용 저장 매체의 사용은 PC필터 솔루션을 통해 차단되고 있으며, 매체사용신청서를 통해 관리자 승인 후 읽기/쓰기 권한을 부여하고 있음
 - 포트락을 통해 추가 물리적 포트를 통제하고 있음
 - 휴대용 저장매체의 사용을 제한하고 있으며, 업무목적으로 사용이 허용된 휴대용 저장매체 사용을 최소화하고, 사용전 백신프로그램을 통해 바이러스 및 악성코드 자동검사를 수행하고 있음
 - 매체 이동 후 USB 반납시 정보보안담당자는 파일 점검(일일업무일지) 후 즉시 삭제하고 있으며, USB는 잠금장치가 있는 서랍에 보관하고 있음 </t>
  </si>
  <si>
    <t>「정보보안관리지침」
 제86조(휴대용 저장매체 관리)</t>
  </si>
  <si>
    <t>- 매체 사용 통제</t>
  </si>
  <si>
    <t>윈도우 시스템의 경우 WSUS를 통해 패치 다운로드 후 테스트 서버에 적용하여 안정성 확인 후 운영서버에 업데이트가 이루어지며, 작업계획보고 및 완료보고를 진행하고 있음
 - 유닉스 계열 시스템의 경우 벤더 및 기타 취약점 권고 시 보안 업데이트를 수행하고 장비 패치 리스트를 작성하여 관리하고 있음
 - 중요 운영시스템의 경우에는 테스트 시스템에서 가용성 테스트 후 패치 적용을 하고 있음</t>
  </si>
  <si>
    <t>「정보보안관리지침」
 제53조(패치관리)</t>
  </si>
  <si>
    <t>- 패치 관리</t>
  </si>
  <si>
    <t>윈도우 서버 및 임직원 PC에 백신을 설치하여 운영중에 있음
 - 백신프로그램의 최신엔진 유지를 위한 점검을 진행하고 있으며, 이에 대한 실행 여부는 정보보호의 날 및 보안감사를 통해 점검함
 - 7일 이상 백신업데이트 미수행 시 NAC를 통해 차단되며, 백신 업데이트 이후 네트워크 사용이 가능함
 - 보안관제 및 APT를 통해 악성코들 탐지하고 있으며, 백신에서 탐지되지 않는 악성코드는 백신업체에 의뢰하여 업데이트 하고 있음</t>
  </si>
  <si>
    <t>「정보보안관리지침」
 제85조(보안 프로그램 운영) ②~⑧항</t>
  </si>
  <si>
    <t>- 월간보안활동 보고
- V3 탐지 및 업데이트 보호대책</t>
  </si>
  <si>
    <t>침해사고에 대한 대응 및 관리를 위해 침해사고 대응, 보고, 사후절차 등이 규정되어 있으며, 보안사고에 신속히 대응할 수 있도록 긴급복구훈련 계획을 수립하여 시행하고 있음
 - 침해사고에 신속한 대응을 위해 중앙집중적인 비상연락체계가 구축되어 운영되고 있음</t>
  </si>
  <si>
    <t>「정보보안관리지침」
 제111조(보안사고 대응계획 수립)
 제112조(보안사고의 구분)
 제113조(보안사고 대응체계 구축)</t>
  </si>
  <si>
    <t>- 침해사고유형별대응절차서
- 보안사고대응절차서</t>
  </si>
  <si>
    <t>취약점 진단 및 이행조치를 매년 수행하며, 정보보호책임자에게 보고함
 - 발견된 취약점은 이행조치 및 조치계획 수립을 통하여 관리하고 있음</t>
  </si>
  <si>
    <t>「정보보안관리지침」
 - 제46조(취약점 분석 및 평가)</t>
  </si>
  <si>
    <t>- 취약점 진단 결과
  : 심사팀장님 별도 제공</t>
  </si>
  <si>
    <t>DDoS, IPS 등의 보안시스템에 대하여 모니터링을 수행하고 이상징후 발견 시 관련 지침 및 매뉴얼에 따라 조치함
 - 내부 이상행위에 대해서는 ADS를 통해 실시간 모니터링하고 있으며, 이상행위에 대해서 소명을 받고 있음</t>
  </si>
  <si>
    <t>「정보보안관리지침」
 - 제52조(침해시도 모니터링 및 대응)</t>
  </si>
  <si>
    <t>- 통합보안관제 일일업무보고
- 월간보안활동 보고
- ADS 소명 처리 결과</t>
  </si>
  <si>
    <t>침해사고에 대한 대응 및 관리를 위해 침해사고 대응, 보고, 사후절차 등이 규정되어 있으며, 보안사고에 신속히 대응할 수 있도록 재해복구훈련 계획을 수립하여 시행하고 있음
 - 재해복구훈련 결과 도출된 문제에 대해 조치방안을 수립하고 이행하고 있음</t>
  </si>
  <si>
    <t>「정보보안관리지침」
 - 제114조(보안사고 대응 모의훈련)
 - 제115조(보안사고 대응 모의훈련 결과보고)</t>
  </si>
  <si>
    <t>- 보안사고 대응 모의훈련
- 업무연속성 훈련 결과</t>
  </si>
  <si>
    <t>이상징후 발생 또는 비정상적인 활동 내역에 대하여 인지한 경우 정보보호담당자에게 즉시 보고하도록 하고 있으며, 검토 및 분석을 통해 보고서를 작성하고, 침해사고로 판단될 경우 사고 심각도에 따라 관련 보고를 수행하도록 하고 있음
 - 침해사고 발생 시 법률이나 규정 등에 따라 유관기관에 신고하도록 되어 있음
 - 침해사고 대응에 관한 책임 및 절차에 따라 처리 및 복구 결과를 문서로 작성 및 공유하여 재발방지 대책을 수립하도록 하고, 필요 시 관련 대응 체계를 보완하며, 전 임직원 공유가 필요한 경우 보안교육 내용에 반영하여 인식제고에 활용하도록 하고 있음</t>
  </si>
  <si>
    <t>「정보보안관리지침」
 제113조(보안사고 대응체계 구축)</t>
  </si>
  <si>
    <t>IT 재해 유형을 식별하여 대응 체계를 수립하고 있으며, 중요서비스의 경우 유형에 따른 피해규모 및 영향, 복구 목표 시간 및 시점 등의 대책을 수립하고 이행함
 - 중요서비스의 경우 유형에 따른 피해규모 및 영향, 복구 목표 시간 및 시점 등의 대책을 수립하고 이행함
 - 재해 상황별 비상 시 복구조직, 비상연락체계 및 복구절차 등의 재해복구 체계를 수립하여 운영중에 있으며, 재해복구훈련을 통해 이행하고 있음</t>
  </si>
  <si>
    <t>「정보보안관리지침」
 제102조(재해복구 계획 수립)
 제103조(비상대책반)
 제104조(비상연락체계 구축)</t>
  </si>
  <si>
    <t>- 업무연속성계획(BCP)</t>
  </si>
  <si>
    <t>IT 재해 유형별 긴급복구 모의훈련 시 일정, 참여인원, 범위, 방법, 절차 등의 내용을 계획하여 연1회 수행하고 있음
 - IT 재해 유형별 긴급복구 모의훈련을 통해 재해복구 체계에 대한 검토∙보완 후 절차 및 매뉴얼을 주기적으로 갱신하고 있음</t>
  </si>
  <si>
    <t>「정보보안관리지침」
 제109조(비상대응 훈련)
 제110조(비상대응 훈련 결과 보고)</t>
  </si>
  <si>
    <t>- 업무연속성 훈련 결과
- 업무연속성계획 개정 품의문</t>
  </si>
  <si>
    <t>Y</t>
    <phoneticPr fontId="1" type="noConversion"/>
  </si>
  <si>
    <t>Y</t>
    <phoneticPr fontId="1" type="noConversion"/>
  </si>
  <si>
    <t>Y</t>
    <phoneticPr fontId="1" type="noConversion"/>
  </si>
  <si>
    <t>Y</t>
    <phoneticPr fontId="1" type="noConversion"/>
  </si>
  <si>
    <t>Y</t>
    <phoneticPr fontId="1" type="noConversion"/>
  </si>
  <si>
    <t>「개인정보보호관리지침」
 제12조(개인정보의 수집·이용)</t>
  </si>
  <si>
    <t>- 개인정보처리방침
- 협력사관리시스템 회원가입 화면
- 개인정보 흐름표
- 개인정보 흐름도</t>
  </si>
  <si>
    <t>N/A</t>
    <phoneticPr fontId="1" type="noConversion"/>
  </si>
  <si>
    <t>「개인정보보호관리지침」
 제24조(주민드록번호 처리 제한)</t>
    <phoneticPr fontId="1" type="noConversion"/>
  </si>
  <si>
    <t>「개인정보보호관리지침」
제22조(민감정보 처리 제한)
제23조(고유식별정보 처리 제한)</t>
    <phoneticPr fontId="1" type="noConversion"/>
  </si>
  <si>
    <t>N/A</t>
    <phoneticPr fontId="1" type="noConversion"/>
  </si>
  <si>
    <t>「영상정보처리기기 관리지침」
 제10조(안내판 설치)</t>
  </si>
  <si>
    <t>- CCTV 설치 안내문
- 영상정보처리기기 관리지침
- CCTV 월간운영보고서</t>
  </si>
  <si>
    <t>ISMS-P</t>
    <phoneticPr fontId="1" type="noConversion"/>
  </si>
  <si>
    <t>▶최고책임자는 회사의 정보보호 및 개인정보보호가 이루어질 수 있도록 정보보호 조직(부서)을 구성하고 있으며, 정보보호 관리체계를 구축하기 위한 정보보호관리규정의 제·개정 사항을 승인하고 있음
※ 아래의 사항에 대해서 최고책임자에게 보고하고 있음
 - 정보보호위원회 결과(정보기술 부문 계획, 정보보호 정책 개정, 연간 정보보호 운영 계획 등)
 - 정보보호 운영 활동(정보보호의 날, 개인정보/퇴사자 모니터링 등)</t>
  </si>
  <si>
    <t>▶정보보호 관리체게의 적절성 및 준법성을 보장하기 위해 연 1회 이상 법률 제•개정 내용을 반영하고, 준법담당부서에 법률검토를 의뢰하여 법적 요구사항 준수여부를 검토 받고 있음
 - 정보보호규정 및 지침 제정 시 관련 현업부서의 담당자의 검토 의견(정보보호위원회 등)을 수렴하여 조직 내에서 실제 수행하는 정보보호 활동 내용이 반영될 수 있도록 함
 - 정보보호규정 및 관련 지침의 이력관리 및 이행에 관련된 문서는 제·개정, 배포 및 폐기 등에 관하여 관련 규정을 준수하여 운영하고 있음</t>
  </si>
  <si>
    <t xml:space="preserve">▶정보주체 회원가입 시 동의를 받으며, 오프라인 수집의 경우 개인정보 보호법 제15조 4항에 따라 대금지급(원천징수) 목적으로 수집함
 - B2B 사업 협력 비즈니스 목적 상 사업자등록 기반으로 회원가입을 수행하며, 만 14세 미만 아동의 경우 개인정보를 수집하지 않으므로 해당사항 없음
</t>
  </si>
  <si>
    <t xml:space="preserve">▶개인정보보호관리지침 제12조에 따라 비즈니스 목적 상 필요로 하는 최소한의 정보만 수집하고 있음
 - 개인정보 항목 중 필수/선택을 분리하였으며, 미동의시에 대한 서비스 제한 없음
 - 개인정보 필수 항목 : ID, 성명, 휴대폰번호, 전자우편 주소
 - 개인정보 선택 항목 : 직책
 - 개인정보 보유 기간 : 업무목적 달성 시 까지
</t>
  </si>
  <si>
    <t>▶프리랜서 대금지급 및 소득신고 목적으로 주민등록번호를 사용함
 - 소득세법 제127조, 제128조</t>
  </si>
  <si>
    <t>▶민감정보 처리는 없으며 프리랜서 대금지급 및 소득신고 목적으로 주민등록번호를 사용함
 - 소득세법 제127조, 제128조</t>
    <phoneticPr fontId="1" type="noConversion"/>
  </si>
  <si>
    <t>▶정보주체 이외로부터 개인정보를 수집하지 않으므로 해당사항 없음</t>
    <phoneticPr fontId="1" type="noConversion"/>
  </si>
  <si>
    <t xml:space="preserve">▶영상정보처리기기는 업무공간인 백년관 복도, 사무실 출입구와 정보시스템이 있는 죽전센터에 설치되어 있으며, 「영상정보처리기기 관리지침」에 따라 안내판(CCTV 설치 안내문)을 설치하고 있음
 - CCTV 설치 안내문에는 설치목적 및 장소, 촬영범위 및 시간, 관리책임자의 성명, 직책 및 연락처 등
</t>
    <phoneticPr fontId="1" type="noConversion"/>
  </si>
  <si>
    <t>「개인정보보호관리지침」
 제44조(자체감사)</t>
  </si>
  <si>
    <t>- 월간보안활동 보고
- 개인정보 흐름도/흐름표
- 개인정보처리방침</t>
  </si>
  <si>
    <t>▶재화나 서비스의 홍보, 판매 권유, 광고성정보전송 등 마케팅 목적으로 개인정보를 수집·이용하지 않으므로 해당사항 없음</t>
    <phoneticPr fontId="1" type="noConversion"/>
  </si>
  <si>
    <t>「개인정보보호관리지침」
 제33조(안전조치의무)</t>
  </si>
  <si>
    <t>- 협력사관리시스템 회원관리 화면</t>
  </si>
  <si>
    <t>N/A</t>
    <phoneticPr fontId="1" type="noConversion"/>
  </si>
  <si>
    <t>N/A</t>
    <phoneticPr fontId="1" type="noConversion"/>
  </si>
  <si>
    <t>N/A</t>
    <phoneticPr fontId="1" type="noConversion"/>
  </si>
  <si>
    <t>▶협력사 관리를 목적으로 협력사 담당자의 개인정보(성명, 휴대폰번호, 전자우편주소, 직책)을 수집/보유하고 있음
 - 개인정보흐름표를 매년 갱신하여 개인정보 항목, 보유랑, 처리목적을 관리하고 있음
 - 매월 개인정보 모니터링(자체점검)을 실시하여, 개인정보 취급자 관리/개인정보 조회 및 처리내역 등을 점검하고 있음</t>
    <phoneticPr fontId="1" type="noConversion"/>
  </si>
  <si>
    <t>▶협력사 관리시스템으로 수집된 정보는 개인정보 취급자 별 접근통제 및 데이터 암호화 등을 적용하고 있으며, 데이터에 대한 최신성·안전성·정확성 확보를 위하여 백업 체계를 마련하하여 운영하고 있음
 - 정보주체가 수집 및 처리되는 개인정보의 현황을 쉽게 알 수 있도록 개인정보 처리방침을 게시하고 있음</t>
    <phoneticPr fontId="1" type="noConversion"/>
  </si>
  <si>
    <t>▶이동통신단말장치 內 서비스를 제공하지 않으므로 해당사항 없음</t>
    <phoneticPr fontId="1" type="noConversion"/>
  </si>
  <si>
    <t>▶개인정보 목적 외 이용 및 제공 서비스가 존재하지 않으므로 해당사항 없음</t>
    <phoneticPr fontId="1" type="noConversion"/>
  </si>
  <si>
    <t>▶서비스 제공을 위해 가명정보 처리를 하지 않으므로 해당사항 없음</t>
    <phoneticPr fontId="1" type="noConversion"/>
  </si>
  <si>
    <t>▶개인정보를 제3자에게 제공하지 않으므로 해당사항 없음</t>
    <phoneticPr fontId="1" type="noConversion"/>
  </si>
  <si>
    <t>N/A</t>
    <phoneticPr fontId="1" type="noConversion"/>
  </si>
  <si>
    <t>"「개인정보보호관리지침」
제26조(제26조 (업무위탁에 따른 개인정보의 처리제한) 
제34조(개인정보 처리방침의 수립 및 공개)</t>
  </si>
  <si>
    <t>- 개인정보처리방침
- 수탁사 별 보안관리 약정서</t>
  </si>
  <si>
    <t>N/A</t>
    <phoneticPr fontId="1" type="noConversion"/>
  </si>
  <si>
    <t>"「개인정보보호관리지침」
제19조(개인정보의 파기)</t>
  </si>
  <si>
    <t>- 실사</t>
  </si>
  <si>
    <t>▶협력사별 사업공고에 따른 SMS알림메시지 및 전자세금계산서 발송을 목적으로 제3자에게 개인정보를 위탁하고 있으며, 개인정보처리방침을 통해 위탁 사항을 공개하고 있음</t>
    <phoneticPr fontId="1" type="noConversion"/>
  </si>
  <si>
    <t>▶영업의 양도·합병 등으로 개인정보를 이전하거나, 이전받는 경우가 존재하지 않으므로 해당사항 없음</t>
    <phoneticPr fontId="1" type="noConversion"/>
  </si>
  <si>
    <t>▶개인정보 국외 이전이 존재하지 않으므로 해당사항 없음</t>
    <phoneticPr fontId="1" type="noConversion"/>
  </si>
  <si>
    <t xml:space="preserve">▶협력사 관리시스템에서 수집∙이용하는 개인정보는 이용목적 달성(탈퇴 시)에 따라 개인정보를 즉시 파기하며, 계약이 체결되거나, 체결했던 협력사의 경우 전자상거래 등에서의 소비자보호에 관한 법률에 의거하여 분리보관 및 법적 보유기간 이후 파기를 수행함
 - 계약 미체결 협력사 정보의 보유기간 : 홈페이지 회원 탈퇴 시 즉시
 - 계약 체결된 협력사 정보의 보유기간 : 법적 보유기간 동안 분리보관(별도 테이블) 후 파기
</t>
    <phoneticPr fontId="1" type="noConversion"/>
  </si>
  <si>
    <t>"「개인정보보호관리지침」
제34조(개인정보 처리방침의 수립 및 공개)</t>
  </si>
  <si>
    <t>- 개인정보처리방침
- 처리방침 게시내역</t>
  </si>
  <si>
    <t>"「개인정보보호관리지침」
제41조(권리행사의 방법 및 절차)</t>
  </si>
  <si>
    <t>- 개인정보처리방침
- 개인정보보호관리지침
- 위임장
- 열람, 정정, 삭제, 처리정지 요구서
- 개인정보보호 관리지침</t>
  </si>
  <si>
    <t xml:space="preserve">▶협력사 관리시스템에서 수집∙이용하는 개인정보는 이용목적 달성(탈퇴 시)에 따라 개인정보를 즉시 파기하며, 계약이 체결되거나, 체결했던 협력사의 경우 전자상거래 등에서의 소비자보호에 관한 법률에 의거하여 분리보관 및 법적 보유기간 이후 파기를 수행함
 - 계약 미체결 협력사 정보의 보유기간 : 홈페이지 회원 탈퇴 시 즉시
 - 계약 체결된 협력사 정보의 보유기간 : 법적 보유기간 동안 분리보관(별도 테이블) 후 파기
</t>
    <phoneticPr fontId="1" type="noConversion"/>
  </si>
  <si>
    <t>▶협력사 관리시스템 개인정보처리방침을 수립하여 지속적으로 현행화하고 있으며, 정보주체(이용자)가 쉽게 확인할 수 있도록 홈페이지 하단에 공개하고 있음</t>
    <phoneticPr fontId="1" type="noConversion"/>
  </si>
  <si>
    <t>▶협력사 관리시스템 홈페이지에 정보주체(이용자)의 권리행사 방법 및 절차를 안내하고 있음</t>
    <phoneticPr fontId="1" type="noConversion"/>
  </si>
  <si>
    <t>N/A</t>
    <phoneticPr fontId="1" type="noConversion"/>
  </si>
  <si>
    <t xml:space="preserve">▶B2B에 대한 개인정보 처리로 회원가입 시 회사 메일 사용 및 입찰 등 비즈니스 목적 외 처리가 존재하지 않으므로 해당사항 없음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</si>
</sst>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8"/>
      <color theme="1"/>
      <name val="맑은 고딕"/>
      <family val="3"/>
      <charset val="129"/>
      <scheme val="minor"/>
    </font>
    <font>
      <sz val="10"/>
      <color theme="1"/>
      <name val="맑은 고딕"/>
      <family val="3"/>
      <charset val="129"/>
      <scheme val="minor"/>
    </font>
    <font>
      <b/>
      <sz val="9"/>
      <color theme="1"/>
      <name val="원신한 Light"/>
      <family val="3"/>
      <charset val="129"/>
    </font>
    <font>
      <sz val="9"/>
      <color theme="1"/>
      <name val="원신한 Light"/>
      <family val="3"/>
      <charset val="129"/>
    </font>
    <font>
      <b/>
      <sz val="9"/>
      <color rgb="FF000000"/>
      <name val="원신한 Light"/>
      <family val="3"/>
      <charset val="129"/>
    </font>
    <font>
      <sz val="9"/>
      <name val="원신한 Light"/>
      <family val="3"/>
      <charset val="129"/>
    </font>
    <font>
      <b/>
      <sz val="9"/>
      <name val="원신한 Light"/>
      <family val="3"/>
      <charset val="129"/>
    </font>
    <font>
      <sz val="10"/>
      <color theme="1"/>
      <name val="맑은 고딕"/>
      <family val="2"/>
      <scheme val="minor"/>
    </font>
    <font>
      <b/>
      <sz val="10"/>
      <color theme="1"/>
      <name val="맑은 고딕"/>
      <family val="3"/>
      <charset val="129"/>
      <scheme val="minor"/>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9" tint="0.79998168889431442"/>
        <bgColor indexed="64"/>
      </patternFill>
    </fill>
  </fills>
  <borders count="21">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90">
    <xf numFmtId="0" fontId="0" fillId="0" borderId="0" xfId="0"/>
    <xf numFmtId="0" fontId="4"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8" fillId="5" borderId="4" xfId="0" applyFont="1" applyFill="1" applyBorder="1" applyAlignment="1">
      <alignment vertical="center"/>
    </xf>
    <xf numFmtId="0" fontId="6" fillId="5" borderId="2" xfId="0" applyFont="1" applyFill="1" applyBorder="1" applyAlignment="1">
      <alignment horizontal="center" vertical="center"/>
    </xf>
    <xf numFmtId="0" fontId="6" fillId="5" borderId="3" xfId="0" applyFont="1" applyFill="1" applyBorder="1" applyAlignment="1">
      <alignment vertical="center"/>
    </xf>
    <xf numFmtId="0" fontId="6" fillId="5" borderId="3" xfId="0" applyFont="1" applyFill="1" applyBorder="1" applyAlignment="1">
      <alignment horizontal="center" vertical="center"/>
    </xf>
    <xf numFmtId="0" fontId="9" fillId="5" borderId="4" xfId="0" applyFont="1" applyFill="1" applyBorder="1" applyAlignment="1">
      <alignment vertical="center"/>
    </xf>
    <xf numFmtId="0" fontId="4" fillId="5" borderId="2" xfId="0" applyFont="1" applyFill="1" applyBorder="1" applyAlignment="1">
      <alignment horizontal="center" vertical="center" wrapText="1"/>
    </xf>
    <xf numFmtId="0" fontId="4" fillId="5" borderId="3" xfId="0" applyFont="1" applyFill="1" applyBorder="1" applyAlignment="1">
      <alignment vertical="center" wrapText="1"/>
    </xf>
    <xf numFmtId="0" fontId="4"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0" borderId="0" xfId="0" applyAlignment="1">
      <alignment wrapText="1"/>
    </xf>
    <xf numFmtId="0" fontId="4" fillId="5"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0"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vertical="center"/>
    </xf>
    <xf numFmtId="0" fontId="11" fillId="0" borderId="0" xfId="0" applyFont="1"/>
    <xf numFmtId="0" fontId="17" fillId="0" borderId="0" xfId="0" applyFont="1" applyAlignment="1">
      <alignment vertical="center"/>
    </xf>
    <xf numFmtId="0" fontId="12" fillId="3" borderId="4"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9" fillId="6" borderId="12" xfId="0" applyNumberFormat="1" applyFont="1" applyFill="1" applyBorder="1" applyAlignment="1">
      <alignment horizontal="center" vertical="center"/>
    </xf>
    <xf numFmtId="0" fontId="19" fillId="6" borderId="17" xfId="0" applyNumberFormat="1" applyFont="1" applyFill="1" applyBorder="1" applyAlignment="1">
      <alignment horizontal="center" vertical="center"/>
    </xf>
    <xf numFmtId="0" fontId="19" fillId="6" borderId="15" xfId="0" applyNumberFormat="1" applyFont="1" applyFill="1" applyBorder="1" applyAlignment="1">
      <alignment horizontal="center" vertical="center"/>
    </xf>
    <xf numFmtId="0" fontId="19" fillId="7" borderId="18" xfId="0" applyNumberFormat="1" applyFont="1" applyFill="1" applyBorder="1" applyAlignment="1">
      <alignment horizontal="center"/>
    </xf>
    <xf numFmtId="0" fontId="19" fillId="7" borderId="19" xfId="0" applyNumberFormat="1" applyFont="1" applyFill="1" applyBorder="1" applyAlignment="1">
      <alignment horizontal="center"/>
    </xf>
    <xf numFmtId="0" fontId="19" fillId="7" borderId="14" xfId="0" applyNumberFormat="1" applyFont="1" applyFill="1" applyBorder="1" applyAlignment="1">
      <alignment horizontal="center"/>
    </xf>
    <xf numFmtId="0" fontId="20" fillId="0" borderId="0" xfId="0" applyNumberFormat="1" applyFont="1" applyFill="1" applyAlignment="1">
      <alignment horizontal="center"/>
    </xf>
    <xf numFmtId="0" fontId="19" fillId="6" borderId="13" xfId="0" applyNumberFormat="1" applyFont="1" applyFill="1" applyBorder="1" applyAlignment="1">
      <alignment horizontal="center" vertical="center"/>
    </xf>
    <xf numFmtId="0" fontId="19" fillId="6" borderId="20" xfId="0" applyNumberFormat="1" applyFont="1" applyFill="1" applyBorder="1" applyAlignment="1">
      <alignment horizontal="center" vertical="center"/>
    </xf>
    <xf numFmtId="0" fontId="19" fillId="6" borderId="16" xfId="0" applyNumberFormat="1" applyFont="1" applyFill="1" applyBorder="1" applyAlignment="1">
      <alignment horizontal="center" vertical="center"/>
    </xf>
    <xf numFmtId="0" fontId="19" fillId="8" borderId="11" xfId="0" applyNumberFormat="1" applyFont="1" applyFill="1" applyBorder="1" applyAlignment="1">
      <alignment horizontal="center"/>
    </xf>
    <xf numFmtId="0" fontId="19" fillId="8" borderId="11" xfId="0" applyNumberFormat="1" applyFont="1" applyFill="1" applyBorder="1" applyAlignment="1">
      <alignment horizontal="center" wrapText="1"/>
    </xf>
    <xf numFmtId="0" fontId="21" fillId="0" borderId="11" xfId="0" applyNumberFormat="1" applyFont="1" applyFill="1" applyBorder="1" applyAlignment="1">
      <alignment horizontal="center" vertical="center"/>
    </xf>
    <xf numFmtId="0" fontId="22" fillId="0" borderId="11" xfId="0" applyNumberFormat="1" applyFont="1" applyFill="1" applyBorder="1" applyAlignment="1">
      <alignment horizontal="center" vertical="center" wrapText="1"/>
    </xf>
    <xf numFmtId="0" fontId="22" fillId="0" borderId="11" xfId="0" applyNumberFormat="1" applyFont="1" applyFill="1" applyBorder="1" applyAlignment="1">
      <alignment horizontal="left" vertical="center" wrapText="1"/>
    </xf>
    <xf numFmtId="0" fontId="23" fillId="4" borderId="11" xfId="0" applyNumberFormat="1" applyFont="1" applyFill="1" applyBorder="1" applyAlignment="1">
      <alignment horizontal="center" vertical="center" wrapText="1"/>
    </xf>
    <xf numFmtId="0" fontId="23" fillId="4" borderId="11" xfId="0" applyNumberFormat="1" applyFont="1" applyFill="1" applyBorder="1" applyAlignment="1">
      <alignment horizontal="center" vertical="center" wrapText="1"/>
    </xf>
    <xf numFmtId="0" fontId="23" fillId="8" borderId="11" xfId="0" applyNumberFormat="1" applyFont="1" applyFill="1" applyBorder="1" applyAlignment="1">
      <alignment horizontal="center" vertical="center" wrapText="1"/>
    </xf>
    <xf numFmtId="0" fontId="19" fillId="0" borderId="11" xfId="0" applyNumberFormat="1" applyFont="1" applyFill="1" applyBorder="1" applyAlignment="1">
      <alignment horizontal="center" vertical="center"/>
    </xf>
    <xf numFmtId="0" fontId="19" fillId="0" borderId="0" xfId="0" applyNumberFormat="1" applyFont="1" applyFill="1" applyAlignment="1">
      <alignment horizontal="center"/>
    </xf>
    <xf numFmtId="0" fontId="23" fillId="4" borderId="18" xfId="0" applyNumberFormat="1" applyFont="1" applyFill="1" applyBorder="1" applyAlignment="1">
      <alignment horizontal="center" vertical="center" wrapText="1"/>
    </xf>
    <xf numFmtId="0" fontId="23" fillId="4" borderId="14" xfId="0" applyNumberFormat="1" applyFont="1" applyFill="1" applyBorder="1" applyAlignment="1">
      <alignment horizontal="center" vertical="center" wrapText="1"/>
    </xf>
    <xf numFmtId="0" fontId="19" fillId="6" borderId="11" xfId="0" applyNumberFormat="1" applyFont="1" applyFill="1" applyBorder="1" applyAlignment="1">
      <alignment horizontal="center"/>
    </xf>
    <xf numFmtId="0" fontId="19" fillId="6" borderId="11" xfId="0" applyNumberFormat="1" applyFont="1" applyFill="1" applyBorder="1" applyAlignment="1">
      <alignment horizontal="center"/>
    </xf>
    <xf numFmtId="0" fontId="19" fillId="7" borderId="11" xfId="0" applyNumberFormat="1" applyFont="1" applyFill="1" applyBorder="1" applyAlignment="1">
      <alignment horizontal="center"/>
    </xf>
    <xf numFmtId="0" fontId="3" fillId="0" borderId="5" xfId="0" applyFont="1" applyBorder="1" applyAlignment="1">
      <alignment vertical="top" wrapText="1"/>
    </xf>
    <xf numFmtId="0" fontId="5" fillId="0" borderId="8" xfId="0" applyFont="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4" fillId="0" borderId="1" xfId="0" applyFont="1" applyBorder="1" applyAlignment="1">
      <alignment horizontal="center" vertical="top" wrapText="1"/>
    </xf>
    <xf numFmtId="0" fontId="3" fillId="0" borderId="6" xfId="0" applyFont="1" applyBorder="1" applyAlignment="1">
      <alignment vertical="top" wrapText="1"/>
    </xf>
    <xf numFmtId="0" fontId="5" fillId="0" borderId="9" xfId="0" applyFont="1" applyBorder="1" applyAlignment="1">
      <alignment vertical="top" wrapText="1"/>
    </xf>
    <xf numFmtId="0" fontId="5" fillId="0" borderId="1" xfId="0" applyFont="1" applyFill="1" applyBorder="1" applyAlignment="1">
      <alignment horizontal="center" vertical="top" wrapText="1"/>
    </xf>
    <xf numFmtId="0" fontId="5" fillId="0" borderId="1" xfId="0" applyFont="1" applyFill="1" applyBorder="1" applyAlignment="1">
      <alignment vertical="top" wrapText="1"/>
    </xf>
    <xf numFmtId="0" fontId="3" fillId="0" borderId="7" xfId="0" applyFont="1" applyBorder="1" applyAlignment="1">
      <alignment vertical="top" wrapText="1"/>
    </xf>
    <xf numFmtId="0" fontId="5" fillId="0" borderId="10" xfId="0" applyFont="1" applyBorder="1" applyAlignment="1">
      <alignment vertical="top" wrapText="1"/>
    </xf>
    <xf numFmtId="0" fontId="3" fillId="0" borderId="6" xfId="0" applyFont="1" applyBorder="1" applyAlignment="1">
      <alignment horizontal="center"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7" fillId="0" borderId="7" xfId="0" applyFont="1" applyBorder="1" applyAlignment="1">
      <alignment vertical="top" wrapText="1"/>
    </xf>
    <xf numFmtId="0" fontId="9" fillId="5" borderId="4" xfId="0" applyFont="1" applyFill="1" applyBorder="1" applyAlignment="1">
      <alignment horizontal="left" vertical="center"/>
    </xf>
    <xf numFmtId="49" fontId="3" fillId="0" borderId="5" xfId="0" applyNumberFormat="1" applyFont="1" applyBorder="1" applyAlignment="1">
      <alignment vertical="top" wrapText="1"/>
    </xf>
    <xf numFmtId="0" fontId="5" fillId="0" borderId="8" xfId="0" applyFont="1" applyFill="1" applyBorder="1" applyAlignment="1">
      <alignment vertical="top" wrapText="1"/>
    </xf>
    <xf numFmtId="0" fontId="5" fillId="0" borderId="1" xfId="0" applyFont="1" applyFill="1" applyBorder="1" applyAlignment="1">
      <alignment horizontal="justify" vertical="top" wrapText="1"/>
    </xf>
    <xf numFmtId="49" fontId="3" fillId="0" borderId="6" xfId="0" applyNumberFormat="1" applyFont="1" applyBorder="1" applyAlignment="1">
      <alignment vertical="top" wrapText="1"/>
    </xf>
    <xf numFmtId="0" fontId="5" fillId="0" borderId="9" xfId="0" applyFont="1" applyFill="1" applyBorder="1" applyAlignment="1">
      <alignment horizontal="center" vertical="top" wrapText="1"/>
    </xf>
    <xf numFmtId="49" fontId="3" fillId="0" borderId="7" xfId="0" applyNumberFormat="1" applyFont="1" applyBorder="1" applyAlignment="1">
      <alignment vertical="top" wrapText="1"/>
    </xf>
    <xf numFmtId="0" fontId="5" fillId="0" borderId="10" xfId="0" applyFont="1" applyFill="1" applyBorder="1" applyAlignment="1">
      <alignment vertical="top" wrapText="1"/>
    </xf>
    <xf numFmtId="49" fontId="7" fillId="0" borderId="5" xfId="0" applyNumberFormat="1" applyFont="1" applyBorder="1" applyAlignment="1">
      <alignment vertical="top" wrapText="1"/>
    </xf>
    <xf numFmtId="49" fontId="7" fillId="0" borderId="6" xfId="0" applyNumberFormat="1" applyFont="1" applyBorder="1" applyAlignment="1">
      <alignment vertical="top" wrapText="1"/>
    </xf>
    <xf numFmtId="0" fontId="5" fillId="0" borderId="9" xfId="0" applyFont="1" applyFill="1" applyBorder="1" applyAlignment="1">
      <alignment vertical="top" wrapText="1"/>
    </xf>
    <xf numFmtId="0" fontId="5" fillId="2" borderId="1" xfId="0" applyFont="1" applyFill="1" applyBorder="1" applyAlignment="1">
      <alignment horizontal="justify" vertical="top" wrapText="1"/>
    </xf>
    <xf numFmtId="49" fontId="7" fillId="0" borderId="7" xfId="0" applyNumberFormat="1" applyFont="1" applyBorder="1" applyAlignment="1">
      <alignment vertical="top" wrapText="1"/>
    </xf>
    <xf numFmtId="0" fontId="5" fillId="0" borderId="1" xfId="0" applyFont="1" applyFill="1" applyBorder="1" applyAlignment="1">
      <alignment horizontal="left" vertical="top" wrapText="1"/>
    </xf>
    <xf numFmtId="0" fontId="24" fillId="0" borderId="1" xfId="0" applyFont="1" applyBorder="1" applyAlignment="1">
      <alignment vertical="top" wrapText="1"/>
    </xf>
    <xf numFmtId="0" fontId="18" fillId="0" borderId="2" xfId="0" applyFont="1" applyBorder="1" applyAlignment="1">
      <alignment vertical="top" wrapText="1"/>
    </xf>
    <xf numFmtId="0" fontId="24" fillId="0" borderId="1" xfId="0" applyFont="1" applyBorder="1" applyAlignment="1">
      <alignment horizontal="center" vertical="top" wrapText="1"/>
    </xf>
    <xf numFmtId="0" fontId="25" fillId="0" borderId="1" xfId="0" applyFont="1" applyBorder="1" applyAlignment="1">
      <alignment horizontal="center" vertical="top" wrapText="1"/>
    </xf>
    <xf numFmtId="0" fontId="18" fillId="0" borderId="1" xfId="0" applyFont="1" applyBorder="1" applyAlignment="1">
      <alignment vertical="top" wrapText="1"/>
    </xf>
    <xf numFmtId="0" fontId="24" fillId="0" borderId="0" xfId="0" applyFont="1"/>
    <xf numFmtId="0" fontId="24" fillId="0" borderId="2" xfId="0" applyFont="1" applyBorder="1" applyAlignment="1">
      <alignment vertical="top" wrapText="1"/>
    </xf>
  </cellXfs>
  <cellStyles count="4">
    <cellStyle name="표준" xfId="0" builtinId="0"/>
    <cellStyle name="표준 11" xfId="3"/>
    <cellStyle name="표준 2" xfId="1"/>
    <cellStyle name="표준 4" xfId="2"/>
  </cellStyles>
  <dxfs count="3">
    <dxf>
      <fill>
        <patternFill>
          <bgColor theme="5"/>
        </patternFill>
      </fill>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3%23%20&#49324;&#45236;&#48372;&#50504;\02.%20&#51064;&#51613;\ISMS-P\2024&#45380;_&#49324;&#54980;&#49900;&#49324;(1&#52264;)\00.%20&#49900;&#49324;%20&#49888;&#52397;\%5b&#48537;&#51076;4%5d&#49888;&#54620;&#46356;&#50640;&#49828;_&#51221;&#48372;&#48372;&#54840;%20&#48143;%20&#44060;&#51064;&#51221;&#48372;&#48372;&#54840;%20&#44288;&#47532;&#52404;&#44228;%20&#50868;&#50689;&#47749;&#49464;&#494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통계"/>
      <sheetName val="ISMS-P"/>
      <sheetName val="Sheet4"/>
    </sheetNames>
    <sheetDataSet>
      <sheetData sheetId="0"/>
      <sheetData sheetId="1">
        <row r="104">
          <cell r="G104" t="str">
            <v>Y</v>
          </cell>
        </row>
        <row r="105">
          <cell r="G105" t="str">
            <v>Y</v>
          </cell>
        </row>
        <row r="106">
          <cell r="G106" t="str">
            <v>N/A</v>
          </cell>
        </row>
        <row r="107">
          <cell r="G107" t="str">
            <v>Y</v>
          </cell>
        </row>
        <row r="108">
          <cell r="G108" t="str">
            <v>Y</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2:I29"/>
  <sheetViews>
    <sheetView showGridLines="0" tabSelected="1" view="pageBreakPreview" zoomScaleNormal="100" zoomScaleSheetLayoutView="100" workbookViewId="0"/>
  </sheetViews>
  <sheetFormatPr defaultColWidth="14.375" defaultRowHeight="15.75" x14ac:dyDescent="0.35"/>
  <cols>
    <col min="1" max="1" width="2.5" style="35" customWidth="1"/>
    <col min="2" max="2" width="25.5" style="35" bestFit="1" customWidth="1"/>
    <col min="3" max="3" width="4.875" style="35" bestFit="1" customWidth="1"/>
    <col min="4" max="4" width="25.875" style="35" customWidth="1"/>
    <col min="5" max="8" width="11.625" style="35" customWidth="1"/>
    <col min="9" max="9" width="2.25" style="35" customWidth="1"/>
    <col min="10" max="16384" width="14.375" style="35"/>
  </cols>
  <sheetData>
    <row r="2" spans="2:9" ht="20.100000000000001" customHeight="1" x14ac:dyDescent="0.35">
      <c r="B2" s="29" t="s">
        <v>367</v>
      </c>
      <c r="C2" s="30" t="s">
        <v>368</v>
      </c>
      <c r="D2" s="31"/>
      <c r="E2" s="29" t="s">
        <v>369</v>
      </c>
      <c r="F2" s="32" t="s">
        <v>370</v>
      </c>
      <c r="G2" s="33"/>
      <c r="H2" s="34"/>
    </row>
    <row r="3" spans="2:9" ht="20.100000000000001" customHeight="1" x14ac:dyDescent="0.35">
      <c r="B3" s="36"/>
      <c r="C3" s="37"/>
      <c r="D3" s="38"/>
      <c r="E3" s="36"/>
      <c r="F3" s="39" t="s">
        <v>371</v>
      </c>
      <c r="G3" s="39" t="s">
        <v>278</v>
      </c>
      <c r="H3" s="40" t="s">
        <v>372</v>
      </c>
    </row>
    <row r="4" spans="2:9" ht="20.100000000000001" customHeight="1" x14ac:dyDescent="0.35">
      <c r="B4" s="41" t="s">
        <v>373</v>
      </c>
      <c r="C4" s="42" t="s">
        <v>163</v>
      </c>
      <c r="D4" s="43" t="s">
        <v>274</v>
      </c>
      <c r="E4" s="42">
        <f>SUM(F4:H4)</f>
        <v>6</v>
      </c>
      <c r="F4" s="42">
        <f>COUNTIF('ISMS-P'!G6:$G$11,"Y")</f>
        <v>6</v>
      </c>
      <c r="G4" s="42">
        <f>COUNTIF('ISMS-P'!$G6:H$11,"N")</f>
        <v>0</v>
      </c>
      <c r="H4" s="42">
        <f>COUNTIF('ISMS-P'!$G6:I$11,"N/A")</f>
        <v>0</v>
      </c>
    </row>
    <row r="5" spans="2:9" ht="20.100000000000001" customHeight="1" x14ac:dyDescent="0.35">
      <c r="B5" s="41"/>
      <c r="C5" s="42" t="s">
        <v>165</v>
      </c>
      <c r="D5" s="43" t="s">
        <v>164</v>
      </c>
      <c r="E5" s="42">
        <f t="shared" ref="E5:E7" si="0">SUM(F5:H5)</f>
        <v>4</v>
      </c>
      <c r="F5" s="42">
        <f>COUNTIF('ISMS-P'!$G$12:$G$15,"Y")</f>
        <v>4</v>
      </c>
      <c r="G5" s="42">
        <f>COUNTIF('ISMS-P'!$G$12:$G$15,"N")</f>
        <v>0</v>
      </c>
      <c r="H5" s="42">
        <f>COUNTIF('ISMS-P'!$G$12:$G$15,"N/A")</f>
        <v>0</v>
      </c>
    </row>
    <row r="6" spans="2:9" ht="20.100000000000001" customHeight="1" x14ac:dyDescent="0.35">
      <c r="B6" s="41"/>
      <c r="C6" s="42" t="s">
        <v>166</v>
      </c>
      <c r="D6" s="43" t="s">
        <v>272</v>
      </c>
      <c r="E6" s="42">
        <f t="shared" si="0"/>
        <v>3</v>
      </c>
      <c r="F6" s="42">
        <f>COUNTIF('ISMS-P'!$G$16:$G$18,"Y")</f>
        <v>3</v>
      </c>
      <c r="G6" s="42">
        <f>COUNTIF('ISMS-P'!$G$16:$G$18,"N")</f>
        <v>0</v>
      </c>
      <c r="H6" s="42">
        <f>COUNTIF('ISMS-P'!$G$16:$G$18,"N/A")</f>
        <v>0</v>
      </c>
    </row>
    <row r="7" spans="2:9" ht="20.100000000000001" customHeight="1" x14ac:dyDescent="0.35">
      <c r="B7" s="41"/>
      <c r="C7" s="42" t="s">
        <v>167</v>
      </c>
      <c r="D7" s="43" t="s">
        <v>374</v>
      </c>
      <c r="E7" s="42">
        <f t="shared" si="0"/>
        <v>3</v>
      </c>
      <c r="F7" s="42">
        <f>COUNTIF('ISMS-P'!$G$19:$G$21,"Y")</f>
        <v>3</v>
      </c>
      <c r="G7" s="42">
        <f>COUNTIF('ISMS-P'!$G$19:$G$21,"N")</f>
        <v>0</v>
      </c>
      <c r="H7" s="42">
        <f>COUNTIF('ISMS-P'!$G$19:$G$21,"N/A")</f>
        <v>0</v>
      </c>
    </row>
    <row r="8" spans="2:9" ht="20.100000000000001" customHeight="1" x14ac:dyDescent="0.35">
      <c r="B8" s="41"/>
      <c r="C8" s="44" t="s">
        <v>375</v>
      </c>
      <c r="D8" s="44"/>
      <c r="E8" s="45">
        <f>SUM(E4:E7)</f>
        <v>16</v>
      </c>
      <c r="F8" s="46">
        <f>SUM(F4:F7)</f>
        <v>16</v>
      </c>
      <c r="G8" s="46">
        <f>SUM(G4:G7)</f>
        <v>0</v>
      </c>
      <c r="H8" s="46">
        <f>SUM(H4:H7)</f>
        <v>0</v>
      </c>
    </row>
    <row r="9" spans="2:9" ht="20.100000000000001" customHeight="1" x14ac:dyDescent="0.35">
      <c r="B9" s="47" t="s">
        <v>376</v>
      </c>
      <c r="C9" s="42" t="s">
        <v>154</v>
      </c>
      <c r="D9" s="43" t="s">
        <v>153</v>
      </c>
      <c r="E9" s="42">
        <f>SUM(F9:H9)</f>
        <v>3</v>
      </c>
      <c r="F9" s="42">
        <f>COUNTIF('ISMS-P'!$G$23:$G$25,"Y")</f>
        <v>3</v>
      </c>
      <c r="G9" s="42">
        <f>COUNTIF('ISMS-P'!$G$23:$G$25,"N")</f>
        <v>0</v>
      </c>
      <c r="H9" s="42">
        <f>COUNTIF('ISMS-P'!$G$23:$G$25,"N/A")</f>
        <v>0</v>
      </c>
    </row>
    <row r="10" spans="2:9" ht="20.100000000000001" customHeight="1" x14ac:dyDescent="0.35">
      <c r="B10" s="47"/>
      <c r="C10" s="42" t="s">
        <v>156</v>
      </c>
      <c r="D10" s="43" t="s">
        <v>377</v>
      </c>
      <c r="E10" s="42">
        <f t="shared" ref="E10:E20" si="1">SUM(F10:H10)</f>
        <v>6</v>
      </c>
      <c r="F10" s="42">
        <f>COUNTIF('ISMS-P'!$G$26:$G$31,"Y")</f>
        <v>6</v>
      </c>
      <c r="G10" s="42">
        <f>COUNTIF('ISMS-P'!$G$26:$G$31,"N")</f>
        <v>0</v>
      </c>
      <c r="H10" s="42">
        <f>COUNTIF('ISMS-P'!$G$26:$G$31,"N/A")</f>
        <v>0</v>
      </c>
    </row>
    <row r="11" spans="2:9" ht="20.100000000000001" customHeight="1" x14ac:dyDescent="0.35">
      <c r="B11" s="47"/>
      <c r="C11" s="42" t="s">
        <v>157</v>
      </c>
      <c r="D11" s="43" t="s">
        <v>359</v>
      </c>
      <c r="E11" s="42">
        <f t="shared" si="1"/>
        <v>4</v>
      </c>
      <c r="F11" s="42">
        <f>COUNTIF('ISMS-P'!$G$32:$G$35,"Y")</f>
        <v>4</v>
      </c>
      <c r="G11" s="42">
        <f>COUNTIF('ISMS-P'!$G$32:$G$35,"N")</f>
        <v>0</v>
      </c>
      <c r="H11" s="42">
        <f>COUNTIF('ISMS-P'!$G$32:$G$35,"N/A")</f>
        <v>0</v>
      </c>
    </row>
    <row r="12" spans="2:9" ht="20.100000000000001" customHeight="1" x14ac:dyDescent="0.35">
      <c r="B12" s="47"/>
      <c r="C12" s="42" t="s">
        <v>159</v>
      </c>
      <c r="D12" s="43" t="s">
        <v>158</v>
      </c>
      <c r="E12" s="42">
        <f t="shared" si="1"/>
        <v>7</v>
      </c>
      <c r="F12" s="42">
        <f>COUNTIF('ISMS-P'!$G$36:$G$42,"Y")</f>
        <v>7</v>
      </c>
      <c r="G12" s="42">
        <f>COUNTIF('ISMS-P'!$G$36:$G$42,"N")</f>
        <v>0</v>
      </c>
      <c r="H12" s="42">
        <f>COUNTIF('ISMS-P'!$G$36:$G$42,"N/A")</f>
        <v>0</v>
      </c>
      <c r="I12" s="48"/>
    </row>
    <row r="13" spans="2:9" ht="20.100000000000001" customHeight="1" x14ac:dyDescent="0.35">
      <c r="B13" s="47"/>
      <c r="C13" s="42" t="s">
        <v>183</v>
      </c>
      <c r="D13" s="43" t="s">
        <v>360</v>
      </c>
      <c r="E13" s="42">
        <f t="shared" si="1"/>
        <v>6</v>
      </c>
      <c r="F13" s="42">
        <f>COUNTIF('ISMS-P'!$G$43:$G$48,"Y")</f>
        <v>6</v>
      </c>
      <c r="G13" s="42">
        <f>COUNTIF('ISMS-P'!$G$43:$G$48,"N")</f>
        <v>0</v>
      </c>
      <c r="H13" s="42">
        <f>COUNTIF('ISMS-P'!$G$43:$G$48,"N/A")</f>
        <v>0</v>
      </c>
    </row>
    <row r="14" spans="2:9" ht="20.100000000000001" customHeight="1" x14ac:dyDescent="0.35">
      <c r="B14" s="47"/>
      <c r="C14" s="42" t="s">
        <v>378</v>
      </c>
      <c r="D14" s="43" t="s">
        <v>379</v>
      </c>
      <c r="E14" s="42">
        <f t="shared" si="1"/>
        <v>7</v>
      </c>
      <c r="F14" s="42">
        <f>COUNTIF('ISMS-P'!$G$49:$G$55,"Y")</f>
        <v>7</v>
      </c>
      <c r="G14" s="42">
        <f>COUNTIF('ISMS-P'!$G$49:$G$55,"N")</f>
        <v>0</v>
      </c>
      <c r="H14" s="42">
        <f>COUNTIF('ISMS-P'!$G$49:$G$55,"N/A")</f>
        <v>0</v>
      </c>
    </row>
    <row r="15" spans="2:9" ht="20.100000000000001" customHeight="1" x14ac:dyDescent="0.35">
      <c r="B15" s="47"/>
      <c r="C15" s="42" t="s">
        <v>380</v>
      </c>
      <c r="D15" s="43" t="s">
        <v>381</v>
      </c>
      <c r="E15" s="42">
        <f t="shared" si="1"/>
        <v>2</v>
      </c>
      <c r="F15" s="42">
        <f>COUNTIF('ISMS-P'!$G$56:$G$57,"Y")</f>
        <v>2</v>
      </c>
      <c r="G15" s="42">
        <f>COUNTIF('ISMS-P'!$G$56:$G$57,"N")</f>
        <v>0</v>
      </c>
      <c r="H15" s="42">
        <f>COUNTIF('ISMS-P'!$G$56:$G$57,"N/A")</f>
        <v>0</v>
      </c>
    </row>
    <row r="16" spans="2:9" ht="20.100000000000001" customHeight="1" x14ac:dyDescent="0.35">
      <c r="B16" s="47"/>
      <c r="C16" s="42" t="s">
        <v>186</v>
      </c>
      <c r="D16" s="43" t="s">
        <v>361</v>
      </c>
      <c r="E16" s="42">
        <f t="shared" si="1"/>
        <v>6</v>
      </c>
      <c r="F16" s="42">
        <f>COUNTIF('ISMS-P'!$G$58:$G$63,F3)</f>
        <v>6</v>
      </c>
      <c r="G16" s="42">
        <f>COUNTIF('ISMS-P'!$G$58:$G$63,G3)</f>
        <v>0</v>
      </c>
      <c r="H16" s="42">
        <f>COUNTIF('ISMS-P'!$G$58:$G$63,H3)</f>
        <v>0</v>
      </c>
    </row>
    <row r="17" spans="2:8" ht="20.100000000000001" customHeight="1" x14ac:dyDescent="0.35">
      <c r="B17" s="47"/>
      <c r="C17" s="42" t="s">
        <v>187</v>
      </c>
      <c r="D17" s="43" t="s">
        <v>161</v>
      </c>
      <c r="E17" s="42">
        <f t="shared" si="1"/>
        <v>7</v>
      </c>
      <c r="F17" s="42">
        <f>COUNTIF('ISMS-P'!$G$64:$G$70,F3)</f>
        <v>7</v>
      </c>
      <c r="G17" s="42">
        <f>COUNTIF('ISMS-P'!$G$64:$G$70,G3)</f>
        <v>0</v>
      </c>
      <c r="H17" s="42">
        <f>COUNTIF('ISMS-P'!$G$64:$G$70,H3)</f>
        <v>0</v>
      </c>
    </row>
    <row r="18" spans="2:8" ht="20.100000000000001" customHeight="1" x14ac:dyDescent="0.35">
      <c r="B18" s="47"/>
      <c r="C18" s="42" t="s">
        <v>188</v>
      </c>
      <c r="D18" s="43" t="s">
        <v>382</v>
      </c>
      <c r="E18" s="42">
        <f t="shared" si="1"/>
        <v>9</v>
      </c>
      <c r="F18" s="42">
        <f>COUNTIF('ISMS-P'!$G$71:$G$79,F3)</f>
        <v>8</v>
      </c>
      <c r="G18" s="42">
        <f>COUNTIF('ISMS-P'!$G$71:$G$79,G3)</f>
        <v>0</v>
      </c>
      <c r="H18" s="42">
        <f>COUNTIF('ISMS-P'!$G$71:$G$79,H3)</f>
        <v>1</v>
      </c>
    </row>
    <row r="19" spans="2:8" ht="20.100000000000001" customHeight="1" x14ac:dyDescent="0.35">
      <c r="B19" s="47"/>
      <c r="C19" s="42" t="s">
        <v>189</v>
      </c>
      <c r="D19" s="43" t="s">
        <v>362</v>
      </c>
      <c r="E19" s="42">
        <f t="shared" si="1"/>
        <v>5</v>
      </c>
      <c r="F19" s="42">
        <f>COUNTIF('ISMS-P'!$G$80:$G$84,F3)</f>
        <v>5</v>
      </c>
      <c r="G19" s="42">
        <f>COUNTIF('ISMS-P'!$G$80:$G$84,G3)</f>
        <v>0</v>
      </c>
      <c r="H19" s="42">
        <f>COUNTIF('ISMS-P'!$G$80:$G$84,H3)</f>
        <v>0</v>
      </c>
    </row>
    <row r="20" spans="2:8" ht="20.100000000000001" customHeight="1" x14ac:dyDescent="0.35">
      <c r="B20" s="47"/>
      <c r="C20" s="42" t="s">
        <v>383</v>
      </c>
      <c r="D20" s="43" t="s">
        <v>384</v>
      </c>
      <c r="E20" s="42">
        <f t="shared" si="1"/>
        <v>2</v>
      </c>
      <c r="F20" s="42">
        <f>COUNTIF('ISMS-P'!$G$85:$G$86,F3)</f>
        <v>2</v>
      </c>
      <c r="G20" s="42">
        <f>COUNTIF('ISMS-P'!$G$85:$G$86,G3)</f>
        <v>0</v>
      </c>
      <c r="H20" s="42">
        <f>COUNTIF('ISMS-P'!$G$85:$G$86,H3)</f>
        <v>0</v>
      </c>
    </row>
    <row r="21" spans="2:8" ht="20.100000000000001" customHeight="1" x14ac:dyDescent="0.35">
      <c r="B21" s="47"/>
      <c r="C21" s="49" t="s">
        <v>375</v>
      </c>
      <c r="D21" s="50"/>
      <c r="E21" s="45">
        <f>SUM(E9:E20)</f>
        <v>64</v>
      </c>
      <c r="F21" s="46">
        <f>SUM(F9:F20)</f>
        <v>63</v>
      </c>
      <c r="G21" s="46">
        <f>SUM(G9:G20)</f>
        <v>0</v>
      </c>
      <c r="H21" s="46">
        <f>SUM(H9:H20)</f>
        <v>1</v>
      </c>
    </row>
    <row r="22" spans="2:8" ht="20.100000000000001" customHeight="1" x14ac:dyDescent="0.35">
      <c r="B22" s="47" t="s">
        <v>385</v>
      </c>
      <c r="C22" s="42" t="s">
        <v>386</v>
      </c>
      <c r="D22" s="43" t="s">
        <v>387</v>
      </c>
      <c r="E22" s="42">
        <f>SUM(F22:H22)</f>
        <v>7</v>
      </c>
      <c r="F22" s="42">
        <f>COUNTIF('ISMS-P'!$G$88:$G$94,"Y")</f>
        <v>5</v>
      </c>
      <c r="G22" s="42">
        <f>COUNTIF('ISMS-P'!$G$88:$G$94,"N")</f>
        <v>0</v>
      </c>
      <c r="H22" s="42">
        <f>COUNTIF('ISMS-P'!$G$88:$G$94,"N/A")</f>
        <v>2</v>
      </c>
    </row>
    <row r="23" spans="2:8" ht="20.100000000000001" customHeight="1" x14ac:dyDescent="0.35">
      <c r="B23" s="47"/>
      <c r="C23" s="42" t="s">
        <v>388</v>
      </c>
      <c r="D23" s="43" t="s">
        <v>363</v>
      </c>
      <c r="E23" s="42">
        <f t="shared" ref="E23:E26" si="2">SUM(F23:H23)</f>
        <v>5</v>
      </c>
      <c r="F23" s="42">
        <f>COUNTIF('ISMS-P'!$G$95:$G$99,"Y")</f>
        <v>2</v>
      </c>
      <c r="G23" s="42">
        <f>COUNTIF('ISMS-P'!$G$95:$G$99,"N")</f>
        <v>0</v>
      </c>
      <c r="H23" s="42">
        <f>COUNTIF('ISMS-P'!$G$95:$G$99,"N/A")</f>
        <v>3</v>
      </c>
    </row>
    <row r="24" spans="2:8" ht="20.100000000000001" customHeight="1" x14ac:dyDescent="0.35">
      <c r="B24" s="47"/>
      <c r="C24" s="42" t="s">
        <v>389</v>
      </c>
      <c r="D24" s="43" t="s">
        <v>364</v>
      </c>
      <c r="E24" s="42">
        <f t="shared" si="2"/>
        <v>4</v>
      </c>
      <c r="F24" s="42">
        <f>COUNTIF('ISMS-P'!$G$100:$G$103,"Y")</f>
        <v>1</v>
      </c>
      <c r="G24" s="42">
        <f>COUNTIF('ISMS-P'!$G$100:$G$103,"N")</f>
        <v>0</v>
      </c>
      <c r="H24" s="42">
        <f>COUNTIF('ISMS-P'!$G$100:$G$103,"N/A")</f>
        <v>3</v>
      </c>
    </row>
    <row r="25" spans="2:8" ht="20.100000000000001" customHeight="1" x14ac:dyDescent="0.35">
      <c r="B25" s="47"/>
      <c r="C25" s="42" t="s">
        <v>390</v>
      </c>
      <c r="D25" s="43" t="s">
        <v>365</v>
      </c>
      <c r="E25" s="42">
        <f t="shared" si="2"/>
        <v>2</v>
      </c>
      <c r="F25" s="42">
        <f>COUNTIF('[1]ISMS-P'!$G$104:$G$105,F3)</f>
        <v>2</v>
      </c>
      <c r="G25" s="42">
        <f>COUNTIF('[1]ISMS-P'!$G$104:$G$105,G3)</f>
        <v>0</v>
      </c>
      <c r="H25" s="42">
        <f>COUNTIF('[1]ISMS-P'!$G$104:$G$105,H3)</f>
        <v>0</v>
      </c>
    </row>
    <row r="26" spans="2:8" ht="20.100000000000001" customHeight="1" x14ac:dyDescent="0.35">
      <c r="B26" s="47"/>
      <c r="C26" s="42" t="s">
        <v>391</v>
      </c>
      <c r="D26" s="43" t="s">
        <v>366</v>
      </c>
      <c r="E26" s="42">
        <f t="shared" si="2"/>
        <v>3</v>
      </c>
      <c r="F26" s="42">
        <f>COUNTIF('[1]ISMS-P'!$G$106:$G$108,F3)</f>
        <v>2</v>
      </c>
      <c r="G26" s="42">
        <f>COUNTIF('[1]ISMS-P'!$G$106:$G$108,G3)</f>
        <v>0</v>
      </c>
      <c r="H26" s="42">
        <f>COUNTIF('[1]ISMS-P'!$G$106:$G$108,H3)</f>
        <v>1</v>
      </c>
    </row>
    <row r="27" spans="2:8" ht="20.100000000000001" customHeight="1" x14ac:dyDescent="0.35">
      <c r="B27" s="47"/>
      <c r="C27" s="49" t="s">
        <v>392</v>
      </c>
      <c r="D27" s="50"/>
      <c r="E27" s="45">
        <f>SUM(E22:E26)</f>
        <v>21</v>
      </c>
      <c r="F27" s="46">
        <f>SUM(F22:F26)</f>
        <v>12</v>
      </c>
      <c r="G27" s="46">
        <f>SUM(G22:G26)</f>
        <v>0</v>
      </c>
      <c r="H27" s="46">
        <f>SUM(H22:H26)</f>
        <v>9</v>
      </c>
    </row>
    <row r="28" spans="2:8" ht="20.100000000000001" customHeight="1" x14ac:dyDescent="0.35">
      <c r="B28" s="51" t="s">
        <v>393</v>
      </c>
      <c r="C28" s="51"/>
      <c r="D28" s="51"/>
      <c r="E28" s="52">
        <f>E8+E21+E27</f>
        <v>101</v>
      </c>
      <c r="F28" s="53">
        <f>F8+F21+F27</f>
        <v>91</v>
      </c>
      <c r="G28" s="53">
        <f>G8+G21+G27</f>
        <v>0</v>
      </c>
      <c r="H28" s="53">
        <f>H8+H21+H27</f>
        <v>10</v>
      </c>
    </row>
    <row r="29" spans="2:8" ht="12.75" customHeight="1" x14ac:dyDescent="0.35"/>
  </sheetData>
  <mergeCells count="11">
    <mergeCell ref="B9:B21"/>
    <mergeCell ref="C21:D21"/>
    <mergeCell ref="B22:B27"/>
    <mergeCell ref="C27:D27"/>
    <mergeCell ref="B28:D28"/>
    <mergeCell ref="B2:B3"/>
    <mergeCell ref="C2:D3"/>
    <mergeCell ref="E2:E3"/>
    <mergeCell ref="F2:H2"/>
    <mergeCell ref="B4:B8"/>
    <mergeCell ref="C8:D8"/>
  </mergeCells>
  <phoneticPr fontId="1" type="noConversion"/>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K108"/>
  <sheetViews>
    <sheetView view="pageBreakPreview" topLeftCell="A97" zoomScale="85" zoomScaleNormal="85" zoomScaleSheetLayoutView="85" workbookViewId="0">
      <selection activeCell="D108" sqref="D108"/>
    </sheetView>
  </sheetViews>
  <sheetFormatPr defaultRowHeight="16.5" x14ac:dyDescent="0.3"/>
  <cols>
    <col min="1" max="1" width="3.25" customWidth="1"/>
    <col min="3" max="3" width="9" style="2"/>
    <col min="5" max="5" width="11.25" style="3" customWidth="1"/>
    <col min="6" max="6" width="60.625" customWidth="1"/>
    <col min="7" max="7" width="8.625" style="3" customWidth="1"/>
    <col min="8" max="8" width="8.625" style="1" bestFit="1" customWidth="1"/>
    <col min="9" max="9" width="85.625" style="88" customWidth="1"/>
    <col min="10" max="11" width="33.625" style="88" customWidth="1"/>
  </cols>
  <sheetData>
    <row r="1" spans="2:11" x14ac:dyDescent="0.3">
      <c r="G1"/>
      <c r="H1"/>
      <c r="I1"/>
      <c r="J1"/>
      <c r="K1"/>
    </row>
    <row r="2" spans="2:11" ht="26.25" x14ac:dyDescent="0.35">
      <c r="B2" s="25" t="s">
        <v>394</v>
      </c>
      <c r="C2" s="22"/>
      <c r="D2" s="23"/>
      <c r="E2" s="22"/>
      <c r="F2" s="23"/>
      <c r="G2" s="22"/>
      <c r="H2" s="21"/>
      <c r="I2" s="23"/>
      <c r="J2" s="23"/>
      <c r="K2" s="24"/>
    </row>
    <row r="3" spans="2:11" x14ac:dyDescent="0.3">
      <c r="G3"/>
      <c r="H3"/>
      <c r="I3"/>
      <c r="J3"/>
      <c r="K3"/>
    </row>
    <row r="4" spans="2:11" s="16" customFormat="1" ht="58.5" x14ac:dyDescent="0.3">
      <c r="B4" s="26" t="s">
        <v>7</v>
      </c>
      <c r="C4" s="27"/>
      <c r="D4" s="28" t="s">
        <v>8</v>
      </c>
      <c r="E4" s="26"/>
      <c r="F4" s="18" t="s">
        <v>168</v>
      </c>
      <c r="G4" s="19" t="s">
        <v>286</v>
      </c>
      <c r="H4" s="19" t="s">
        <v>395</v>
      </c>
      <c r="I4" s="19" t="s">
        <v>285</v>
      </c>
      <c r="J4" s="19" t="s">
        <v>287</v>
      </c>
      <c r="K4" s="20" t="s">
        <v>288</v>
      </c>
    </row>
    <row r="5" spans="2:11" ht="17.25" x14ac:dyDescent="0.3">
      <c r="B5" s="5" t="s">
        <v>354</v>
      </c>
      <c r="C5" s="6"/>
      <c r="D5" s="7"/>
      <c r="E5" s="8"/>
      <c r="F5" s="7"/>
      <c r="G5" s="7"/>
      <c r="H5" s="7"/>
      <c r="I5" s="7"/>
      <c r="J5" s="7"/>
      <c r="K5" s="7"/>
    </row>
    <row r="6" spans="2:11" s="4" customFormat="1" ht="81" x14ac:dyDescent="0.3">
      <c r="B6" s="54" t="s">
        <v>163</v>
      </c>
      <c r="C6" s="55" t="s">
        <v>274</v>
      </c>
      <c r="D6" s="56" t="s">
        <v>29</v>
      </c>
      <c r="E6" s="56" t="s">
        <v>135</v>
      </c>
      <c r="F6" s="57" t="s">
        <v>276</v>
      </c>
      <c r="G6" s="85" t="s">
        <v>277</v>
      </c>
      <c r="H6" s="86" t="s">
        <v>280</v>
      </c>
      <c r="I6" s="87" t="s">
        <v>636</v>
      </c>
      <c r="J6" s="87" t="s">
        <v>396</v>
      </c>
      <c r="K6" s="84" t="s">
        <v>397</v>
      </c>
    </row>
    <row r="7" spans="2:11" s="4" customFormat="1" ht="54" x14ac:dyDescent="0.3">
      <c r="B7" s="59"/>
      <c r="C7" s="60"/>
      <c r="D7" s="61" t="s">
        <v>30</v>
      </c>
      <c r="E7" s="61" t="s">
        <v>194</v>
      </c>
      <c r="F7" s="62" t="s">
        <v>197</v>
      </c>
      <c r="G7" s="85" t="s">
        <v>277</v>
      </c>
      <c r="H7" s="86" t="s">
        <v>280</v>
      </c>
      <c r="I7" s="87" t="s">
        <v>398</v>
      </c>
      <c r="J7" s="87" t="s">
        <v>399</v>
      </c>
      <c r="K7" s="84" t="s">
        <v>400</v>
      </c>
    </row>
    <row r="8" spans="2:11" s="4" customFormat="1" ht="175.5" x14ac:dyDescent="0.3">
      <c r="B8" s="59"/>
      <c r="C8" s="60"/>
      <c r="D8" s="56" t="s">
        <v>38</v>
      </c>
      <c r="E8" s="61" t="s">
        <v>95</v>
      </c>
      <c r="F8" s="62" t="s">
        <v>198</v>
      </c>
      <c r="G8" s="85" t="s">
        <v>277</v>
      </c>
      <c r="H8" s="86" t="s">
        <v>280</v>
      </c>
      <c r="I8" s="87" t="s">
        <v>401</v>
      </c>
      <c r="J8" s="87" t="s">
        <v>402</v>
      </c>
      <c r="K8" s="84" t="s">
        <v>403</v>
      </c>
    </row>
    <row r="9" spans="2:11" s="4" customFormat="1" ht="94.5" x14ac:dyDescent="0.3">
      <c r="B9" s="59"/>
      <c r="C9" s="60"/>
      <c r="D9" s="61" t="s">
        <v>39</v>
      </c>
      <c r="E9" s="61" t="s">
        <v>97</v>
      </c>
      <c r="F9" s="62" t="s">
        <v>348</v>
      </c>
      <c r="G9" s="85" t="s">
        <v>277</v>
      </c>
      <c r="H9" s="86" t="s">
        <v>280</v>
      </c>
      <c r="I9" s="87" t="s">
        <v>404</v>
      </c>
      <c r="J9" s="87" t="s">
        <v>405</v>
      </c>
      <c r="K9" s="84" t="s">
        <v>406</v>
      </c>
    </row>
    <row r="10" spans="2:11" s="4" customFormat="1" ht="81" x14ac:dyDescent="0.3">
      <c r="B10" s="59"/>
      <c r="C10" s="60"/>
      <c r="D10" s="61" t="s">
        <v>40</v>
      </c>
      <c r="E10" s="61" t="s">
        <v>96</v>
      </c>
      <c r="F10" s="62" t="s">
        <v>260</v>
      </c>
      <c r="G10" s="85" t="s">
        <v>277</v>
      </c>
      <c r="H10" s="86" t="s">
        <v>280</v>
      </c>
      <c r="I10" s="87" t="s">
        <v>407</v>
      </c>
      <c r="J10" s="87" t="s">
        <v>408</v>
      </c>
      <c r="K10" s="84" t="s">
        <v>409</v>
      </c>
    </row>
    <row r="11" spans="2:11" s="4" customFormat="1" ht="81" x14ac:dyDescent="0.3">
      <c r="B11" s="63"/>
      <c r="C11" s="64"/>
      <c r="D11" s="61" t="s">
        <v>109</v>
      </c>
      <c r="E11" s="61" t="s">
        <v>98</v>
      </c>
      <c r="F11" s="62" t="s">
        <v>199</v>
      </c>
      <c r="G11" s="85" t="s">
        <v>277</v>
      </c>
      <c r="H11" s="86" t="s">
        <v>280</v>
      </c>
      <c r="I11" s="87" t="s">
        <v>410</v>
      </c>
      <c r="J11" s="87" t="s">
        <v>411</v>
      </c>
      <c r="K11" s="84" t="s">
        <v>412</v>
      </c>
    </row>
    <row r="12" spans="2:11" s="4" customFormat="1" ht="54" x14ac:dyDescent="0.3">
      <c r="B12" s="54" t="s">
        <v>165</v>
      </c>
      <c r="C12" s="55" t="s">
        <v>164</v>
      </c>
      <c r="D12" s="61" t="s">
        <v>110</v>
      </c>
      <c r="E12" s="61" t="s">
        <v>173</v>
      </c>
      <c r="F12" s="62" t="s">
        <v>349</v>
      </c>
      <c r="G12" s="85" t="s">
        <v>277</v>
      </c>
      <c r="H12" s="86" t="s">
        <v>280</v>
      </c>
      <c r="I12" s="87" t="s">
        <v>413</v>
      </c>
      <c r="J12" s="87" t="s">
        <v>414</v>
      </c>
      <c r="K12" s="84" t="s">
        <v>415</v>
      </c>
    </row>
    <row r="13" spans="2:11" s="4" customFormat="1" ht="67.5" x14ac:dyDescent="0.3">
      <c r="B13" s="65"/>
      <c r="C13" s="60"/>
      <c r="D13" s="61" t="s">
        <v>41</v>
      </c>
      <c r="E13" s="61" t="s">
        <v>273</v>
      </c>
      <c r="F13" s="62" t="s">
        <v>200</v>
      </c>
      <c r="G13" s="85" t="s">
        <v>277</v>
      </c>
      <c r="H13" s="86" t="s">
        <v>280</v>
      </c>
      <c r="I13" s="87" t="s">
        <v>416</v>
      </c>
      <c r="J13" s="87" t="s">
        <v>417</v>
      </c>
      <c r="K13" s="84" t="s">
        <v>418</v>
      </c>
    </row>
    <row r="14" spans="2:11" s="4" customFormat="1" ht="67.5" x14ac:dyDescent="0.3">
      <c r="B14" s="59"/>
      <c r="C14" s="60"/>
      <c r="D14" s="61" t="s">
        <v>42</v>
      </c>
      <c r="E14" s="61" t="s">
        <v>31</v>
      </c>
      <c r="F14" s="62" t="s">
        <v>201</v>
      </c>
      <c r="G14" s="85" t="s">
        <v>277</v>
      </c>
      <c r="H14" s="86" t="s">
        <v>280</v>
      </c>
      <c r="I14" s="87" t="s">
        <v>419</v>
      </c>
      <c r="J14" s="87" t="s">
        <v>420</v>
      </c>
      <c r="K14" s="84" t="s">
        <v>421</v>
      </c>
    </row>
    <row r="15" spans="2:11" s="4" customFormat="1" ht="67.5" x14ac:dyDescent="0.3">
      <c r="B15" s="63"/>
      <c r="C15" s="64"/>
      <c r="D15" s="61" t="s">
        <v>43</v>
      </c>
      <c r="E15" s="61" t="s">
        <v>131</v>
      </c>
      <c r="F15" s="62" t="s">
        <v>202</v>
      </c>
      <c r="G15" s="85" t="s">
        <v>277</v>
      </c>
      <c r="H15" s="86" t="s">
        <v>280</v>
      </c>
      <c r="I15" s="87" t="s">
        <v>422</v>
      </c>
      <c r="J15" s="87" t="s">
        <v>420</v>
      </c>
      <c r="K15" s="84" t="s">
        <v>423</v>
      </c>
    </row>
    <row r="16" spans="2:11" s="4" customFormat="1" ht="54" x14ac:dyDescent="0.3">
      <c r="B16" s="66" t="s">
        <v>166</v>
      </c>
      <c r="C16" s="55" t="s">
        <v>272</v>
      </c>
      <c r="D16" s="61" t="s">
        <v>170</v>
      </c>
      <c r="E16" s="61" t="s">
        <v>132</v>
      </c>
      <c r="F16" s="62" t="s">
        <v>203</v>
      </c>
      <c r="G16" s="85" t="s">
        <v>277</v>
      </c>
      <c r="H16" s="86" t="s">
        <v>280</v>
      </c>
      <c r="I16" s="87" t="s">
        <v>424</v>
      </c>
      <c r="J16" s="87" t="s">
        <v>420</v>
      </c>
      <c r="K16" s="84" t="s">
        <v>425</v>
      </c>
    </row>
    <row r="17" spans="2:11" s="4" customFormat="1" ht="40.5" x14ac:dyDescent="0.3">
      <c r="B17" s="67"/>
      <c r="C17" s="60"/>
      <c r="D17" s="61" t="s">
        <v>32</v>
      </c>
      <c r="E17" s="61" t="s">
        <v>171</v>
      </c>
      <c r="F17" s="62" t="s">
        <v>204</v>
      </c>
      <c r="G17" s="85" t="s">
        <v>277</v>
      </c>
      <c r="H17" s="86" t="s">
        <v>280</v>
      </c>
      <c r="I17" s="87" t="s">
        <v>426</v>
      </c>
      <c r="J17" s="87" t="s">
        <v>427</v>
      </c>
      <c r="K17" s="84" t="s">
        <v>428</v>
      </c>
    </row>
    <row r="18" spans="2:11" s="4" customFormat="1" ht="67.5" x14ac:dyDescent="0.3">
      <c r="B18" s="68"/>
      <c r="C18" s="64"/>
      <c r="D18" s="61" t="s">
        <v>33</v>
      </c>
      <c r="E18" s="61" t="s">
        <v>172</v>
      </c>
      <c r="F18" s="62" t="s">
        <v>205</v>
      </c>
      <c r="G18" s="85" t="s">
        <v>277</v>
      </c>
      <c r="H18" s="86" t="s">
        <v>280</v>
      </c>
      <c r="I18" s="87" t="s">
        <v>439</v>
      </c>
      <c r="J18" s="87" t="s">
        <v>429</v>
      </c>
      <c r="K18" s="84" t="s">
        <v>430</v>
      </c>
    </row>
    <row r="19" spans="2:11" s="4" customFormat="1" ht="67.5" x14ac:dyDescent="0.3">
      <c r="B19" s="66" t="s">
        <v>167</v>
      </c>
      <c r="C19" s="55" t="s">
        <v>275</v>
      </c>
      <c r="D19" s="56" t="s">
        <v>34</v>
      </c>
      <c r="E19" s="61" t="s">
        <v>99</v>
      </c>
      <c r="F19" s="62" t="s">
        <v>206</v>
      </c>
      <c r="G19" s="85" t="s">
        <v>277</v>
      </c>
      <c r="H19" s="86" t="s">
        <v>280</v>
      </c>
      <c r="I19" s="87" t="s">
        <v>440</v>
      </c>
      <c r="J19" s="87" t="s">
        <v>431</v>
      </c>
      <c r="K19" s="84" t="s">
        <v>432</v>
      </c>
    </row>
    <row r="20" spans="2:11" s="4" customFormat="1" ht="94.5" x14ac:dyDescent="0.3">
      <c r="B20" s="67"/>
      <c r="C20" s="60"/>
      <c r="D20" s="61" t="s">
        <v>35</v>
      </c>
      <c r="E20" s="61" t="s">
        <v>23</v>
      </c>
      <c r="F20" s="62" t="s">
        <v>207</v>
      </c>
      <c r="G20" s="85" t="s">
        <v>277</v>
      </c>
      <c r="H20" s="86" t="s">
        <v>280</v>
      </c>
      <c r="I20" s="87" t="s">
        <v>433</v>
      </c>
      <c r="J20" s="87" t="s">
        <v>434</v>
      </c>
      <c r="K20" s="84" t="s">
        <v>435</v>
      </c>
    </row>
    <row r="21" spans="2:11" s="4" customFormat="1" ht="67.5" x14ac:dyDescent="0.3">
      <c r="B21" s="68"/>
      <c r="C21" s="64"/>
      <c r="D21" s="61" t="s">
        <v>36</v>
      </c>
      <c r="E21" s="61" t="s">
        <v>22</v>
      </c>
      <c r="F21" s="62" t="s">
        <v>208</v>
      </c>
      <c r="G21" s="85" t="s">
        <v>277</v>
      </c>
      <c r="H21" s="86" t="s">
        <v>280</v>
      </c>
      <c r="I21" s="87" t="s">
        <v>436</v>
      </c>
      <c r="J21" s="87" t="s">
        <v>437</v>
      </c>
      <c r="K21" s="84" t="s">
        <v>438</v>
      </c>
    </row>
    <row r="22" spans="2:11" s="4" customFormat="1" ht="17.25" x14ac:dyDescent="0.3">
      <c r="B22" s="69" t="s">
        <v>355</v>
      </c>
      <c r="C22" s="10"/>
      <c r="D22" s="11"/>
      <c r="E22" s="12"/>
      <c r="F22" s="11"/>
      <c r="G22" s="13"/>
      <c r="H22" s="17"/>
      <c r="I22" s="11"/>
      <c r="J22" s="11"/>
      <c r="K22" s="11"/>
    </row>
    <row r="23" spans="2:11" s="4" customFormat="1" ht="81" x14ac:dyDescent="0.3">
      <c r="B23" s="70" t="s">
        <v>154</v>
      </c>
      <c r="C23" s="71" t="s">
        <v>153</v>
      </c>
      <c r="D23" s="61" t="s">
        <v>100</v>
      </c>
      <c r="E23" s="61" t="s">
        <v>169</v>
      </c>
      <c r="F23" s="72" t="s">
        <v>209</v>
      </c>
      <c r="G23" s="85" t="s">
        <v>277</v>
      </c>
      <c r="H23" s="86" t="s">
        <v>280</v>
      </c>
      <c r="I23" s="87" t="s">
        <v>637</v>
      </c>
      <c r="J23" s="87" t="s">
        <v>441</v>
      </c>
      <c r="K23" s="84" t="s">
        <v>442</v>
      </c>
    </row>
    <row r="24" spans="2:11" s="4" customFormat="1" ht="81" x14ac:dyDescent="0.3">
      <c r="B24" s="73"/>
      <c r="C24" s="74"/>
      <c r="D24" s="61" t="s">
        <v>101</v>
      </c>
      <c r="E24" s="61" t="s">
        <v>133</v>
      </c>
      <c r="F24" s="72" t="s">
        <v>210</v>
      </c>
      <c r="G24" s="85" t="s">
        <v>277</v>
      </c>
      <c r="H24" s="86" t="s">
        <v>280</v>
      </c>
      <c r="I24" s="87" t="s">
        <v>443</v>
      </c>
      <c r="J24" s="87" t="s">
        <v>444</v>
      </c>
      <c r="K24" s="84" t="s">
        <v>445</v>
      </c>
    </row>
    <row r="25" spans="2:11" s="4" customFormat="1" ht="54" x14ac:dyDescent="0.3">
      <c r="B25" s="75"/>
      <c r="C25" s="76"/>
      <c r="D25" s="61" t="s">
        <v>102</v>
      </c>
      <c r="E25" s="61" t="s">
        <v>128</v>
      </c>
      <c r="F25" s="72" t="s">
        <v>211</v>
      </c>
      <c r="G25" s="85" t="s">
        <v>277</v>
      </c>
      <c r="H25" s="86" t="s">
        <v>280</v>
      </c>
      <c r="I25" s="87" t="s">
        <v>446</v>
      </c>
      <c r="J25" s="87" t="s">
        <v>447</v>
      </c>
      <c r="K25" s="84" t="s">
        <v>415</v>
      </c>
    </row>
    <row r="26" spans="2:11" s="4" customFormat="1" ht="67.5" x14ac:dyDescent="0.3">
      <c r="B26" s="77" t="s">
        <v>156</v>
      </c>
      <c r="C26" s="71" t="s">
        <v>155</v>
      </c>
      <c r="D26" s="61" t="s">
        <v>111</v>
      </c>
      <c r="E26" s="61" t="s">
        <v>27</v>
      </c>
      <c r="F26" s="72" t="s">
        <v>212</v>
      </c>
      <c r="G26" s="85" t="s">
        <v>277</v>
      </c>
      <c r="H26" s="86" t="s">
        <v>280</v>
      </c>
      <c r="I26" s="87" t="s">
        <v>448</v>
      </c>
      <c r="J26" s="87" t="s">
        <v>449</v>
      </c>
      <c r="K26" s="84" t="s">
        <v>450</v>
      </c>
    </row>
    <row r="27" spans="2:11" s="4" customFormat="1" ht="67.5" x14ac:dyDescent="0.3">
      <c r="B27" s="78"/>
      <c r="C27" s="79"/>
      <c r="D27" s="61" t="s">
        <v>107</v>
      </c>
      <c r="E27" s="61" t="s">
        <v>0</v>
      </c>
      <c r="F27" s="72" t="s">
        <v>213</v>
      </c>
      <c r="G27" s="85" t="s">
        <v>277</v>
      </c>
      <c r="H27" s="86" t="s">
        <v>280</v>
      </c>
      <c r="I27" s="87" t="s">
        <v>451</v>
      </c>
      <c r="J27" s="87" t="s">
        <v>449</v>
      </c>
      <c r="K27" s="84" t="s">
        <v>452</v>
      </c>
    </row>
    <row r="28" spans="2:11" s="4" customFormat="1" ht="81" x14ac:dyDescent="0.3">
      <c r="B28" s="78"/>
      <c r="C28" s="79"/>
      <c r="D28" s="61" t="s">
        <v>108</v>
      </c>
      <c r="E28" s="61" t="s">
        <v>134</v>
      </c>
      <c r="F28" s="80" t="s">
        <v>214</v>
      </c>
      <c r="G28" s="85" t="s">
        <v>277</v>
      </c>
      <c r="H28" s="86" t="s">
        <v>280</v>
      </c>
      <c r="I28" s="87" t="s">
        <v>453</v>
      </c>
      <c r="J28" s="87" t="s">
        <v>454</v>
      </c>
      <c r="K28" s="84" t="s">
        <v>455</v>
      </c>
    </row>
    <row r="29" spans="2:11" s="4" customFormat="1" ht="108" x14ac:dyDescent="0.3">
      <c r="B29" s="78"/>
      <c r="C29" s="79"/>
      <c r="D29" s="61" t="s">
        <v>112</v>
      </c>
      <c r="E29" s="61" t="s">
        <v>24</v>
      </c>
      <c r="F29" s="72" t="s">
        <v>215</v>
      </c>
      <c r="G29" s="85" t="s">
        <v>277</v>
      </c>
      <c r="H29" s="86" t="s">
        <v>280</v>
      </c>
      <c r="I29" s="87" t="s">
        <v>456</v>
      </c>
      <c r="J29" s="87" t="s">
        <v>457</v>
      </c>
      <c r="K29" s="84" t="s">
        <v>458</v>
      </c>
    </row>
    <row r="30" spans="2:11" s="4" customFormat="1" ht="81" x14ac:dyDescent="0.3">
      <c r="B30" s="78"/>
      <c r="C30" s="79"/>
      <c r="D30" s="61" t="s">
        <v>113</v>
      </c>
      <c r="E30" s="61" t="s">
        <v>25</v>
      </c>
      <c r="F30" s="72" t="s">
        <v>216</v>
      </c>
      <c r="G30" s="85" t="s">
        <v>277</v>
      </c>
      <c r="H30" s="86" t="s">
        <v>280</v>
      </c>
      <c r="I30" s="87" t="s">
        <v>459</v>
      </c>
      <c r="J30" s="87" t="s">
        <v>460</v>
      </c>
      <c r="K30" s="84" t="s">
        <v>461</v>
      </c>
    </row>
    <row r="31" spans="2:11" s="4" customFormat="1" ht="81" x14ac:dyDescent="0.3">
      <c r="B31" s="81"/>
      <c r="C31" s="76"/>
      <c r="D31" s="61" t="s">
        <v>147</v>
      </c>
      <c r="E31" s="61" t="s">
        <v>146</v>
      </c>
      <c r="F31" s="72" t="s">
        <v>217</v>
      </c>
      <c r="G31" s="85" t="s">
        <v>277</v>
      </c>
      <c r="H31" s="86" t="s">
        <v>280</v>
      </c>
      <c r="I31" s="87" t="s">
        <v>462</v>
      </c>
      <c r="J31" s="87" t="s">
        <v>463</v>
      </c>
      <c r="K31" s="84" t="s">
        <v>464</v>
      </c>
    </row>
    <row r="32" spans="2:11" s="4" customFormat="1" ht="94.5" x14ac:dyDescent="0.3">
      <c r="B32" s="77" t="s">
        <v>157</v>
      </c>
      <c r="C32" s="55" t="s">
        <v>281</v>
      </c>
      <c r="D32" s="56" t="s">
        <v>114</v>
      </c>
      <c r="E32" s="61" t="s">
        <v>191</v>
      </c>
      <c r="F32" s="62" t="s">
        <v>218</v>
      </c>
      <c r="G32" s="85" t="s">
        <v>277</v>
      </c>
      <c r="H32" s="86" t="s">
        <v>280</v>
      </c>
      <c r="I32" s="87" t="s">
        <v>465</v>
      </c>
      <c r="J32" s="87" t="s">
        <v>466</v>
      </c>
      <c r="K32" s="84" t="s">
        <v>467</v>
      </c>
    </row>
    <row r="33" spans="2:11" s="4" customFormat="1" ht="54" x14ac:dyDescent="0.3">
      <c r="B33" s="78"/>
      <c r="C33" s="60"/>
      <c r="D33" s="56" t="s">
        <v>44</v>
      </c>
      <c r="E33" s="61" t="s">
        <v>193</v>
      </c>
      <c r="F33" s="72" t="s">
        <v>219</v>
      </c>
      <c r="G33" s="85" t="s">
        <v>277</v>
      </c>
      <c r="H33" s="86" t="s">
        <v>280</v>
      </c>
      <c r="I33" s="87" t="s">
        <v>468</v>
      </c>
      <c r="J33" s="87" t="s">
        <v>469</v>
      </c>
      <c r="K33" s="84" t="s">
        <v>470</v>
      </c>
    </row>
    <row r="34" spans="2:11" s="4" customFormat="1" ht="81" x14ac:dyDescent="0.3">
      <c r="B34" s="78"/>
      <c r="C34" s="60"/>
      <c r="D34" s="56" t="s">
        <v>45</v>
      </c>
      <c r="E34" s="61" t="s">
        <v>19</v>
      </c>
      <c r="F34" s="72" t="s">
        <v>220</v>
      </c>
      <c r="G34" s="85" t="s">
        <v>277</v>
      </c>
      <c r="H34" s="86" t="s">
        <v>280</v>
      </c>
      <c r="I34" s="87" t="s">
        <v>471</v>
      </c>
      <c r="J34" s="87" t="s">
        <v>472</v>
      </c>
      <c r="K34" s="84" t="s">
        <v>473</v>
      </c>
    </row>
    <row r="35" spans="2:11" s="4" customFormat="1" ht="67.5" x14ac:dyDescent="0.3">
      <c r="B35" s="81"/>
      <c r="C35" s="64"/>
      <c r="D35" s="56" t="s">
        <v>46</v>
      </c>
      <c r="E35" s="61" t="s">
        <v>103</v>
      </c>
      <c r="F35" s="72" t="s">
        <v>221</v>
      </c>
      <c r="G35" s="85" t="s">
        <v>277</v>
      </c>
      <c r="H35" s="86" t="s">
        <v>280</v>
      </c>
      <c r="I35" s="87" t="s">
        <v>474</v>
      </c>
      <c r="J35" s="87" t="s">
        <v>475</v>
      </c>
      <c r="K35" s="84" t="s">
        <v>476</v>
      </c>
    </row>
    <row r="36" spans="2:11" s="4" customFormat="1" ht="54" x14ac:dyDescent="0.3">
      <c r="B36" s="77" t="s">
        <v>159</v>
      </c>
      <c r="C36" s="71" t="s">
        <v>158</v>
      </c>
      <c r="D36" s="61" t="s">
        <v>115</v>
      </c>
      <c r="E36" s="61" t="s">
        <v>149</v>
      </c>
      <c r="F36" s="72" t="s">
        <v>222</v>
      </c>
      <c r="G36" s="85" t="s">
        <v>277</v>
      </c>
      <c r="H36" s="86" t="s">
        <v>280</v>
      </c>
      <c r="I36" s="87" t="s">
        <v>477</v>
      </c>
      <c r="J36" s="87" t="s">
        <v>478</v>
      </c>
      <c r="K36" s="84" t="s">
        <v>479</v>
      </c>
    </row>
    <row r="37" spans="2:11" s="4" customFormat="1" ht="81" x14ac:dyDescent="0.3">
      <c r="B37" s="78"/>
      <c r="C37" s="79"/>
      <c r="D37" s="61" t="s">
        <v>116</v>
      </c>
      <c r="E37" s="61" t="s">
        <v>351</v>
      </c>
      <c r="F37" s="72" t="s">
        <v>148</v>
      </c>
      <c r="G37" s="85" t="s">
        <v>277</v>
      </c>
      <c r="H37" s="86" t="s">
        <v>280</v>
      </c>
      <c r="I37" s="87" t="s">
        <v>480</v>
      </c>
      <c r="J37" s="87" t="s">
        <v>481</v>
      </c>
      <c r="K37" s="84" t="s">
        <v>482</v>
      </c>
    </row>
    <row r="38" spans="2:11" s="4" customFormat="1" ht="40.5" x14ac:dyDescent="0.3">
      <c r="B38" s="78"/>
      <c r="C38" s="79"/>
      <c r="D38" s="61" t="s">
        <v>117</v>
      </c>
      <c r="E38" s="61" t="s">
        <v>151</v>
      </c>
      <c r="F38" s="72" t="s">
        <v>223</v>
      </c>
      <c r="G38" s="85" t="s">
        <v>277</v>
      </c>
      <c r="H38" s="86" t="s">
        <v>280</v>
      </c>
      <c r="I38" s="87" t="s">
        <v>483</v>
      </c>
      <c r="J38" s="87" t="s">
        <v>484</v>
      </c>
      <c r="K38" s="84" t="s">
        <v>485</v>
      </c>
    </row>
    <row r="39" spans="2:11" s="4" customFormat="1" ht="121.5" x14ac:dyDescent="0.3">
      <c r="B39" s="78"/>
      <c r="C39" s="79"/>
      <c r="D39" s="61" t="s">
        <v>118</v>
      </c>
      <c r="E39" s="61" t="s">
        <v>152</v>
      </c>
      <c r="F39" s="72" t="s">
        <v>224</v>
      </c>
      <c r="G39" s="85" t="s">
        <v>277</v>
      </c>
      <c r="H39" s="86" t="s">
        <v>280</v>
      </c>
      <c r="I39" s="87" t="s">
        <v>486</v>
      </c>
      <c r="J39" s="87" t="s">
        <v>484</v>
      </c>
      <c r="K39" s="84" t="s">
        <v>485</v>
      </c>
    </row>
    <row r="40" spans="2:11" s="4" customFormat="1" ht="27" x14ac:dyDescent="0.3">
      <c r="B40" s="78"/>
      <c r="C40" s="79"/>
      <c r="D40" s="61" t="s">
        <v>119</v>
      </c>
      <c r="E40" s="61" t="s">
        <v>1</v>
      </c>
      <c r="F40" s="72" t="s">
        <v>225</v>
      </c>
      <c r="G40" s="85" t="s">
        <v>277</v>
      </c>
      <c r="H40" s="86" t="s">
        <v>280</v>
      </c>
      <c r="I40" s="87" t="s">
        <v>487</v>
      </c>
      <c r="J40" s="87" t="s">
        <v>488</v>
      </c>
      <c r="K40" s="84" t="s">
        <v>489</v>
      </c>
    </row>
    <row r="41" spans="2:11" s="4" customFormat="1" ht="40.5" x14ac:dyDescent="0.3">
      <c r="B41" s="78"/>
      <c r="C41" s="79"/>
      <c r="D41" s="61" t="s">
        <v>120</v>
      </c>
      <c r="E41" s="56" t="s">
        <v>142</v>
      </c>
      <c r="F41" s="72" t="s">
        <v>226</v>
      </c>
      <c r="G41" s="85" t="s">
        <v>277</v>
      </c>
      <c r="H41" s="86" t="s">
        <v>280</v>
      </c>
      <c r="I41" s="87" t="s">
        <v>490</v>
      </c>
      <c r="J41" s="87" t="s">
        <v>491</v>
      </c>
      <c r="K41" s="84" t="s">
        <v>492</v>
      </c>
    </row>
    <row r="42" spans="2:11" s="4" customFormat="1" ht="81" x14ac:dyDescent="0.3">
      <c r="B42" s="81"/>
      <c r="C42" s="76"/>
      <c r="D42" s="61" t="s">
        <v>150</v>
      </c>
      <c r="E42" s="61" t="s">
        <v>195</v>
      </c>
      <c r="F42" s="72" t="s">
        <v>227</v>
      </c>
      <c r="G42" s="85" t="s">
        <v>277</v>
      </c>
      <c r="H42" s="86" t="s">
        <v>280</v>
      </c>
      <c r="I42" s="87" t="s">
        <v>493</v>
      </c>
      <c r="J42" s="87" t="s">
        <v>494</v>
      </c>
      <c r="K42" s="84" t="s">
        <v>495</v>
      </c>
    </row>
    <row r="43" spans="2:11" s="4" customFormat="1" ht="67.5" x14ac:dyDescent="0.3">
      <c r="B43" s="70" t="s">
        <v>183</v>
      </c>
      <c r="C43" s="71" t="s">
        <v>282</v>
      </c>
      <c r="D43" s="61" t="s">
        <v>121</v>
      </c>
      <c r="E43" s="61" t="s">
        <v>177</v>
      </c>
      <c r="F43" s="72" t="s">
        <v>228</v>
      </c>
      <c r="G43" s="85" t="s">
        <v>277</v>
      </c>
      <c r="H43" s="86" t="s">
        <v>280</v>
      </c>
      <c r="I43" s="87" t="s">
        <v>496</v>
      </c>
      <c r="J43" s="87" t="s">
        <v>497</v>
      </c>
      <c r="K43" s="84" t="s">
        <v>498</v>
      </c>
    </row>
    <row r="44" spans="2:11" s="4" customFormat="1" ht="67.5" x14ac:dyDescent="0.3">
      <c r="B44" s="73"/>
      <c r="C44" s="79"/>
      <c r="D44" s="61" t="s">
        <v>47</v>
      </c>
      <c r="E44" s="61" t="s">
        <v>174</v>
      </c>
      <c r="F44" s="72" t="s">
        <v>229</v>
      </c>
      <c r="G44" s="85" t="s">
        <v>277</v>
      </c>
      <c r="H44" s="86" t="s">
        <v>280</v>
      </c>
      <c r="I44" s="87" t="s">
        <v>499</v>
      </c>
      <c r="J44" s="87" t="s">
        <v>497</v>
      </c>
      <c r="K44" s="84" t="s">
        <v>500</v>
      </c>
    </row>
    <row r="45" spans="2:11" s="4" customFormat="1" ht="81" x14ac:dyDescent="0.3">
      <c r="B45" s="73"/>
      <c r="C45" s="79"/>
      <c r="D45" s="61" t="s">
        <v>48</v>
      </c>
      <c r="E45" s="61" t="s">
        <v>4</v>
      </c>
      <c r="F45" s="72" t="s">
        <v>230</v>
      </c>
      <c r="G45" s="85" t="s">
        <v>277</v>
      </c>
      <c r="H45" s="86" t="s">
        <v>280</v>
      </c>
      <c r="I45" s="87" t="s">
        <v>501</v>
      </c>
      <c r="J45" s="87" t="s">
        <v>502</v>
      </c>
      <c r="K45" s="84" t="s">
        <v>503</v>
      </c>
    </row>
    <row r="46" spans="2:11" s="4" customFormat="1" ht="67.5" x14ac:dyDescent="0.3">
      <c r="B46" s="73"/>
      <c r="C46" s="79"/>
      <c r="D46" s="61" t="s">
        <v>49</v>
      </c>
      <c r="E46" s="61" t="s">
        <v>352</v>
      </c>
      <c r="F46" s="72" t="s">
        <v>350</v>
      </c>
      <c r="G46" s="85" t="s">
        <v>277</v>
      </c>
      <c r="H46" s="86" t="s">
        <v>280</v>
      </c>
      <c r="I46" s="87" t="s">
        <v>504</v>
      </c>
      <c r="J46" s="87" t="s">
        <v>505</v>
      </c>
      <c r="K46" s="84" t="s">
        <v>506</v>
      </c>
    </row>
    <row r="47" spans="2:11" s="4" customFormat="1" ht="54" x14ac:dyDescent="0.3">
      <c r="B47" s="73"/>
      <c r="C47" s="79"/>
      <c r="D47" s="61" t="s">
        <v>50</v>
      </c>
      <c r="E47" s="61" t="s">
        <v>175</v>
      </c>
      <c r="F47" s="72" t="s">
        <v>261</v>
      </c>
      <c r="G47" s="85" t="s">
        <v>277</v>
      </c>
      <c r="H47" s="86" t="s">
        <v>280</v>
      </c>
      <c r="I47" s="87" t="s">
        <v>507</v>
      </c>
      <c r="J47" s="87" t="s">
        <v>508</v>
      </c>
      <c r="K47" s="84" t="s">
        <v>509</v>
      </c>
    </row>
    <row r="48" spans="2:11" s="4" customFormat="1" ht="67.5" x14ac:dyDescent="0.3">
      <c r="B48" s="75"/>
      <c r="C48" s="76"/>
      <c r="D48" s="61" t="s">
        <v>140</v>
      </c>
      <c r="E48" s="61" t="s">
        <v>3</v>
      </c>
      <c r="F48" s="72" t="s">
        <v>262</v>
      </c>
      <c r="G48" s="85" t="s">
        <v>277</v>
      </c>
      <c r="H48" s="86" t="s">
        <v>280</v>
      </c>
      <c r="I48" s="87" t="s">
        <v>510</v>
      </c>
      <c r="J48" s="87" t="s">
        <v>511</v>
      </c>
      <c r="K48" s="84" t="s">
        <v>512</v>
      </c>
    </row>
    <row r="49" spans="2:11" s="4" customFormat="1" ht="94.5" x14ac:dyDescent="0.3">
      <c r="B49" s="77" t="s">
        <v>184</v>
      </c>
      <c r="C49" s="71" t="s">
        <v>160</v>
      </c>
      <c r="D49" s="61" t="s">
        <v>51</v>
      </c>
      <c r="E49" s="61" t="s">
        <v>20</v>
      </c>
      <c r="F49" s="72" t="s">
        <v>263</v>
      </c>
      <c r="G49" s="85" t="s">
        <v>277</v>
      </c>
      <c r="H49" s="86" t="s">
        <v>280</v>
      </c>
      <c r="I49" s="87" t="s">
        <v>513</v>
      </c>
      <c r="J49" s="87" t="s">
        <v>514</v>
      </c>
      <c r="K49" s="84" t="s">
        <v>515</v>
      </c>
    </row>
    <row r="50" spans="2:11" s="4" customFormat="1" ht="67.5" x14ac:dyDescent="0.3">
      <c r="B50" s="78"/>
      <c r="C50" s="79"/>
      <c r="D50" s="61" t="s">
        <v>52</v>
      </c>
      <c r="E50" s="61" t="s">
        <v>176</v>
      </c>
      <c r="F50" s="72" t="s">
        <v>264</v>
      </c>
      <c r="G50" s="85" t="s">
        <v>277</v>
      </c>
      <c r="H50" s="86" t="s">
        <v>280</v>
      </c>
      <c r="I50" s="87" t="s">
        <v>516</v>
      </c>
      <c r="J50" s="87" t="s">
        <v>517</v>
      </c>
      <c r="K50" s="84" t="s">
        <v>518</v>
      </c>
    </row>
    <row r="51" spans="2:11" s="4" customFormat="1" ht="94.5" x14ac:dyDescent="0.3">
      <c r="B51" s="78"/>
      <c r="C51" s="79"/>
      <c r="D51" s="61" t="s">
        <v>53</v>
      </c>
      <c r="E51" s="61" t="s">
        <v>196</v>
      </c>
      <c r="F51" s="72" t="s">
        <v>231</v>
      </c>
      <c r="G51" s="85" t="s">
        <v>277</v>
      </c>
      <c r="H51" s="86" t="s">
        <v>280</v>
      </c>
      <c r="I51" s="87" t="s">
        <v>519</v>
      </c>
      <c r="J51" s="87" t="s">
        <v>520</v>
      </c>
      <c r="K51" s="84" t="s">
        <v>521</v>
      </c>
    </row>
    <row r="52" spans="2:11" s="4" customFormat="1" ht="54" x14ac:dyDescent="0.3">
      <c r="B52" s="78"/>
      <c r="C52" s="79"/>
      <c r="D52" s="61" t="s">
        <v>54</v>
      </c>
      <c r="E52" s="61" t="s">
        <v>15</v>
      </c>
      <c r="F52" s="72" t="s">
        <v>232</v>
      </c>
      <c r="G52" s="85" t="s">
        <v>277</v>
      </c>
      <c r="H52" s="86" t="s">
        <v>280</v>
      </c>
      <c r="I52" s="87" t="s">
        <v>522</v>
      </c>
      <c r="J52" s="87" t="s">
        <v>523</v>
      </c>
      <c r="K52" s="84" t="s">
        <v>524</v>
      </c>
    </row>
    <row r="53" spans="2:11" s="4" customFormat="1" ht="40.5" x14ac:dyDescent="0.3">
      <c r="B53" s="78"/>
      <c r="C53" s="79"/>
      <c r="D53" s="61" t="s">
        <v>55</v>
      </c>
      <c r="E53" s="61" t="s">
        <v>14</v>
      </c>
      <c r="F53" s="72" t="s">
        <v>233</v>
      </c>
      <c r="G53" s="85" t="s">
        <v>277</v>
      </c>
      <c r="H53" s="86" t="s">
        <v>280</v>
      </c>
      <c r="I53" s="87" t="s">
        <v>525</v>
      </c>
      <c r="J53" s="87" t="s">
        <v>526</v>
      </c>
      <c r="K53" s="84" t="s">
        <v>527</v>
      </c>
    </row>
    <row r="54" spans="2:11" s="4" customFormat="1" ht="54" x14ac:dyDescent="0.3">
      <c r="B54" s="78"/>
      <c r="C54" s="79"/>
      <c r="D54" s="61" t="s">
        <v>56</v>
      </c>
      <c r="E54" s="61" t="s">
        <v>37</v>
      </c>
      <c r="F54" s="72" t="s">
        <v>234</v>
      </c>
      <c r="G54" s="85" t="s">
        <v>277</v>
      </c>
      <c r="H54" s="86" t="s">
        <v>280</v>
      </c>
      <c r="I54" s="87" t="s">
        <v>528</v>
      </c>
      <c r="J54" s="87" t="s">
        <v>529</v>
      </c>
      <c r="K54" s="84" t="s">
        <v>530</v>
      </c>
    </row>
    <row r="55" spans="2:11" s="4" customFormat="1" ht="54" x14ac:dyDescent="0.3">
      <c r="B55" s="81"/>
      <c r="C55" s="76"/>
      <c r="D55" s="61" t="s">
        <v>57</v>
      </c>
      <c r="E55" s="61" t="s">
        <v>18</v>
      </c>
      <c r="F55" s="72" t="s">
        <v>235</v>
      </c>
      <c r="G55" s="85" t="s">
        <v>277</v>
      </c>
      <c r="H55" s="86" t="s">
        <v>280</v>
      </c>
      <c r="I55" s="87" t="s">
        <v>531</v>
      </c>
      <c r="J55" s="87" t="s">
        <v>532</v>
      </c>
      <c r="K55" s="84" t="s">
        <v>533</v>
      </c>
    </row>
    <row r="56" spans="2:11" s="4" customFormat="1" ht="162" x14ac:dyDescent="0.3">
      <c r="B56" s="70" t="s">
        <v>185</v>
      </c>
      <c r="C56" s="71" t="s">
        <v>346</v>
      </c>
      <c r="D56" s="61" t="s">
        <v>122</v>
      </c>
      <c r="E56" s="61" t="s">
        <v>145</v>
      </c>
      <c r="F56" s="72" t="s">
        <v>236</v>
      </c>
      <c r="G56" s="85" t="s">
        <v>277</v>
      </c>
      <c r="H56" s="86" t="s">
        <v>280</v>
      </c>
      <c r="I56" s="87" t="s">
        <v>534</v>
      </c>
      <c r="J56" s="87" t="s">
        <v>535</v>
      </c>
      <c r="K56" s="84" t="s">
        <v>536</v>
      </c>
    </row>
    <row r="57" spans="2:11" s="4" customFormat="1" ht="108" x14ac:dyDescent="0.3">
      <c r="B57" s="75"/>
      <c r="C57" s="76"/>
      <c r="D57" s="61" t="s">
        <v>58</v>
      </c>
      <c r="E57" s="61" t="s">
        <v>17</v>
      </c>
      <c r="F57" s="72" t="s">
        <v>237</v>
      </c>
      <c r="G57" s="85" t="s">
        <v>277</v>
      </c>
      <c r="H57" s="86" t="s">
        <v>280</v>
      </c>
      <c r="I57" s="87" t="s">
        <v>537</v>
      </c>
      <c r="J57" s="87" t="s">
        <v>538</v>
      </c>
      <c r="K57" s="84" t="s">
        <v>539</v>
      </c>
    </row>
    <row r="58" spans="2:11" s="4" customFormat="1" ht="54" x14ac:dyDescent="0.3">
      <c r="B58" s="70" t="s">
        <v>186</v>
      </c>
      <c r="C58" s="71" t="s">
        <v>283</v>
      </c>
      <c r="D58" s="61" t="s">
        <v>123</v>
      </c>
      <c r="E58" s="61" t="s">
        <v>129</v>
      </c>
      <c r="F58" s="72" t="s">
        <v>238</v>
      </c>
      <c r="G58" s="85" t="s">
        <v>277</v>
      </c>
      <c r="H58" s="86" t="s">
        <v>280</v>
      </c>
      <c r="I58" s="87" t="s">
        <v>540</v>
      </c>
      <c r="J58" s="87" t="s">
        <v>541</v>
      </c>
      <c r="K58" s="84" t="s">
        <v>542</v>
      </c>
    </row>
    <row r="59" spans="2:11" s="4" customFormat="1" ht="54" x14ac:dyDescent="0.3">
      <c r="B59" s="73"/>
      <c r="C59" s="79"/>
      <c r="D59" s="61" t="s">
        <v>59</v>
      </c>
      <c r="E59" s="61" t="s">
        <v>130</v>
      </c>
      <c r="F59" s="72" t="s">
        <v>239</v>
      </c>
      <c r="G59" s="85" t="s">
        <v>277</v>
      </c>
      <c r="H59" s="86" t="s">
        <v>280</v>
      </c>
      <c r="I59" s="87" t="s">
        <v>543</v>
      </c>
      <c r="J59" s="87" t="s">
        <v>541</v>
      </c>
      <c r="K59" s="84" t="s">
        <v>542</v>
      </c>
    </row>
    <row r="60" spans="2:11" s="4" customFormat="1" ht="54" x14ac:dyDescent="0.3">
      <c r="B60" s="73"/>
      <c r="C60" s="79"/>
      <c r="D60" s="61" t="s">
        <v>60</v>
      </c>
      <c r="E60" s="61" t="s">
        <v>178</v>
      </c>
      <c r="F60" s="72" t="s">
        <v>240</v>
      </c>
      <c r="G60" s="85" t="s">
        <v>277</v>
      </c>
      <c r="H60" s="86" t="s">
        <v>280</v>
      </c>
      <c r="I60" s="87" t="s">
        <v>544</v>
      </c>
      <c r="J60" s="87" t="s">
        <v>545</v>
      </c>
      <c r="K60" s="84" t="s">
        <v>546</v>
      </c>
    </row>
    <row r="61" spans="2:11" s="4" customFormat="1" ht="40.5" x14ac:dyDescent="0.3">
      <c r="B61" s="73"/>
      <c r="C61" s="79"/>
      <c r="D61" s="61" t="s">
        <v>61</v>
      </c>
      <c r="E61" s="61" t="s">
        <v>104</v>
      </c>
      <c r="F61" s="72" t="s">
        <v>241</v>
      </c>
      <c r="G61" s="85" t="s">
        <v>277</v>
      </c>
      <c r="H61" s="86" t="s">
        <v>280</v>
      </c>
      <c r="I61" s="87" t="s">
        <v>547</v>
      </c>
      <c r="J61" s="87" t="s">
        <v>548</v>
      </c>
      <c r="K61" s="84" t="s">
        <v>549</v>
      </c>
    </row>
    <row r="62" spans="2:11" s="4" customFormat="1" ht="54" x14ac:dyDescent="0.3">
      <c r="B62" s="73"/>
      <c r="C62" s="79"/>
      <c r="D62" s="61" t="s">
        <v>62</v>
      </c>
      <c r="E62" s="61" t="s">
        <v>179</v>
      </c>
      <c r="F62" s="72" t="s">
        <v>242</v>
      </c>
      <c r="G62" s="85" t="s">
        <v>277</v>
      </c>
      <c r="H62" s="86" t="s">
        <v>280</v>
      </c>
      <c r="I62" s="87" t="s">
        <v>550</v>
      </c>
      <c r="J62" s="87" t="s">
        <v>551</v>
      </c>
      <c r="K62" s="84" t="s">
        <v>552</v>
      </c>
    </row>
    <row r="63" spans="2:11" s="4" customFormat="1" ht="54" x14ac:dyDescent="0.3">
      <c r="B63" s="75"/>
      <c r="C63" s="76"/>
      <c r="D63" s="61" t="s">
        <v>63</v>
      </c>
      <c r="E63" s="61" t="s">
        <v>2</v>
      </c>
      <c r="F63" s="72" t="s">
        <v>243</v>
      </c>
      <c r="G63" s="85" t="s">
        <v>277</v>
      </c>
      <c r="H63" s="86" t="s">
        <v>280</v>
      </c>
      <c r="I63" s="87" t="s">
        <v>553</v>
      </c>
      <c r="J63" s="87" t="s">
        <v>554</v>
      </c>
      <c r="K63" s="84" t="s">
        <v>555</v>
      </c>
    </row>
    <row r="64" spans="2:11" s="4" customFormat="1" ht="40.5" x14ac:dyDescent="0.3">
      <c r="B64" s="70" t="s">
        <v>187</v>
      </c>
      <c r="C64" s="71" t="s">
        <v>161</v>
      </c>
      <c r="D64" s="61" t="s">
        <v>64</v>
      </c>
      <c r="E64" s="61" t="s">
        <v>9</v>
      </c>
      <c r="F64" s="72" t="s">
        <v>244</v>
      </c>
      <c r="G64" s="85" t="s">
        <v>277</v>
      </c>
      <c r="H64" s="86" t="s">
        <v>280</v>
      </c>
      <c r="I64" s="87" t="s">
        <v>556</v>
      </c>
      <c r="J64" s="87" t="s">
        <v>557</v>
      </c>
      <c r="K64" s="84" t="s">
        <v>558</v>
      </c>
    </row>
    <row r="65" spans="2:11" s="4" customFormat="1" ht="40.5" x14ac:dyDescent="0.3">
      <c r="B65" s="73"/>
      <c r="C65" s="79"/>
      <c r="D65" s="61" t="s">
        <v>65</v>
      </c>
      <c r="E65" s="61" t="s">
        <v>105</v>
      </c>
      <c r="F65" s="72" t="s">
        <v>245</v>
      </c>
      <c r="G65" s="85" t="s">
        <v>277</v>
      </c>
      <c r="H65" s="86" t="s">
        <v>280</v>
      </c>
      <c r="I65" s="87" t="s">
        <v>559</v>
      </c>
      <c r="J65" s="87" t="s">
        <v>560</v>
      </c>
      <c r="K65" s="84" t="s">
        <v>561</v>
      </c>
    </row>
    <row r="66" spans="2:11" s="4" customFormat="1" ht="81" x14ac:dyDescent="0.3">
      <c r="B66" s="73"/>
      <c r="C66" s="79"/>
      <c r="D66" s="61" t="s">
        <v>66</v>
      </c>
      <c r="E66" s="61" t="s">
        <v>106</v>
      </c>
      <c r="F66" s="72" t="s">
        <v>246</v>
      </c>
      <c r="G66" s="85" t="s">
        <v>277</v>
      </c>
      <c r="H66" s="86" t="s">
        <v>280</v>
      </c>
      <c r="I66" s="87" t="s">
        <v>562</v>
      </c>
      <c r="J66" s="87" t="s">
        <v>563</v>
      </c>
      <c r="K66" s="84" t="s">
        <v>564</v>
      </c>
    </row>
    <row r="67" spans="2:11" s="4" customFormat="1" ht="54" x14ac:dyDescent="0.3">
      <c r="B67" s="73"/>
      <c r="C67" s="79"/>
      <c r="D67" s="61" t="s">
        <v>67</v>
      </c>
      <c r="E67" s="61" t="s">
        <v>137</v>
      </c>
      <c r="F67" s="72" t="s">
        <v>265</v>
      </c>
      <c r="G67" s="85" t="s">
        <v>277</v>
      </c>
      <c r="H67" s="86" t="s">
        <v>280</v>
      </c>
      <c r="I67" s="87" t="s">
        <v>565</v>
      </c>
      <c r="J67" s="87" t="s">
        <v>566</v>
      </c>
      <c r="K67" s="84" t="s">
        <v>567</v>
      </c>
    </row>
    <row r="68" spans="2:11" s="4" customFormat="1" ht="54" x14ac:dyDescent="0.3">
      <c r="B68" s="73"/>
      <c r="C68" s="79"/>
      <c r="D68" s="61" t="s">
        <v>68</v>
      </c>
      <c r="E68" s="61" t="s">
        <v>138</v>
      </c>
      <c r="F68" s="72" t="s">
        <v>247</v>
      </c>
      <c r="G68" s="85" t="s">
        <v>277</v>
      </c>
      <c r="H68" s="86" t="s">
        <v>280</v>
      </c>
      <c r="I68" s="87" t="s">
        <v>568</v>
      </c>
      <c r="J68" s="87" t="s">
        <v>569</v>
      </c>
      <c r="K68" s="84" t="s">
        <v>570</v>
      </c>
    </row>
    <row r="69" spans="2:11" s="4" customFormat="1" ht="27" x14ac:dyDescent="0.3">
      <c r="B69" s="73"/>
      <c r="C69" s="79"/>
      <c r="D69" s="61" t="s">
        <v>69</v>
      </c>
      <c r="E69" s="61" t="s">
        <v>21</v>
      </c>
      <c r="F69" s="72" t="s">
        <v>266</v>
      </c>
      <c r="G69" s="85" t="s">
        <v>277</v>
      </c>
      <c r="H69" s="86" t="s">
        <v>280</v>
      </c>
      <c r="I69" s="87" t="s">
        <v>571</v>
      </c>
      <c r="J69" s="87" t="s">
        <v>572</v>
      </c>
      <c r="K69" s="84" t="s">
        <v>573</v>
      </c>
    </row>
    <row r="70" spans="2:11" s="4" customFormat="1" ht="54" x14ac:dyDescent="0.3">
      <c r="B70" s="75"/>
      <c r="C70" s="76"/>
      <c r="D70" s="61" t="s">
        <v>70</v>
      </c>
      <c r="E70" s="56" t="s">
        <v>13</v>
      </c>
      <c r="F70" s="72" t="s">
        <v>248</v>
      </c>
      <c r="G70" s="85" t="s">
        <v>277</v>
      </c>
      <c r="H70" s="86" t="s">
        <v>280</v>
      </c>
      <c r="I70" s="87" t="s">
        <v>574</v>
      </c>
      <c r="J70" s="87" t="s">
        <v>575</v>
      </c>
      <c r="K70" s="84" t="s">
        <v>576</v>
      </c>
    </row>
    <row r="71" spans="2:11" s="4" customFormat="1" ht="108" x14ac:dyDescent="0.3">
      <c r="B71" s="70" t="s">
        <v>188</v>
      </c>
      <c r="C71" s="55" t="s">
        <v>284</v>
      </c>
      <c r="D71" s="61" t="s">
        <v>125</v>
      </c>
      <c r="E71" s="61" t="s">
        <v>180</v>
      </c>
      <c r="F71" s="72" t="s">
        <v>249</v>
      </c>
      <c r="G71" s="85" t="s">
        <v>277</v>
      </c>
      <c r="H71" s="86" t="s">
        <v>280</v>
      </c>
      <c r="I71" s="87" t="s">
        <v>577</v>
      </c>
      <c r="J71" s="87" t="s">
        <v>578</v>
      </c>
      <c r="K71" s="84" t="s">
        <v>579</v>
      </c>
    </row>
    <row r="72" spans="2:11" s="4" customFormat="1" ht="67.5" x14ac:dyDescent="0.3">
      <c r="B72" s="73"/>
      <c r="C72" s="60"/>
      <c r="D72" s="61" t="s">
        <v>71</v>
      </c>
      <c r="E72" s="61" t="s">
        <v>10</v>
      </c>
      <c r="F72" s="72" t="s">
        <v>250</v>
      </c>
      <c r="G72" s="85" t="s">
        <v>277</v>
      </c>
      <c r="H72" s="86" t="s">
        <v>280</v>
      </c>
      <c r="I72" s="87" t="s">
        <v>580</v>
      </c>
      <c r="J72" s="87" t="s">
        <v>581</v>
      </c>
      <c r="K72" s="84" t="s">
        <v>582</v>
      </c>
    </row>
    <row r="73" spans="2:11" s="4" customFormat="1" ht="54" x14ac:dyDescent="0.3">
      <c r="B73" s="73"/>
      <c r="C73" s="60"/>
      <c r="D73" s="61" t="s">
        <v>72</v>
      </c>
      <c r="E73" s="61" t="s">
        <v>28</v>
      </c>
      <c r="F73" s="72" t="s">
        <v>267</v>
      </c>
      <c r="G73" s="85" t="s">
        <v>277</v>
      </c>
      <c r="H73" s="86" t="s">
        <v>280</v>
      </c>
      <c r="I73" s="87" t="s">
        <v>583</v>
      </c>
      <c r="J73" s="87" t="s">
        <v>584</v>
      </c>
      <c r="K73" s="84" t="s">
        <v>585</v>
      </c>
    </row>
    <row r="74" spans="2:11" s="4" customFormat="1" ht="40.5" x14ac:dyDescent="0.3">
      <c r="B74" s="73"/>
      <c r="C74" s="60"/>
      <c r="D74" s="61" t="s">
        <v>73</v>
      </c>
      <c r="E74" s="61" t="s">
        <v>11</v>
      </c>
      <c r="F74" s="72" t="s">
        <v>251</v>
      </c>
      <c r="G74" s="85" t="s">
        <v>279</v>
      </c>
      <c r="H74" s="86" t="s">
        <v>280</v>
      </c>
      <c r="I74" s="87" t="s">
        <v>586</v>
      </c>
      <c r="J74" s="87" t="s">
        <v>279</v>
      </c>
      <c r="K74" s="84" t="s">
        <v>279</v>
      </c>
    </row>
    <row r="75" spans="2:11" s="4" customFormat="1" ht="40.5" x14ac:dyDescent="0.3">
      <c r="B75" s="73"/>
      <c r="C75" s="60"/>
      <c r="D75" s="61" t="s">
        <v>74</v>
      </c>
      <c r="E75" s="61" t="s">
        <v>12</v>
      </c>
      <c r="F75" s="72" t="s">
        <v>268</v>
      </c>
      <c r="G75" s="85" t="s">
        <v>277</v>
      </c>
      <c r="H75" s="86" t="s">
        <v>280</v>
      </c>
      <c r="I75" s="87" t="s">
        <v>587</v>
      </c>
      <c r="J75" s="87" t="s">
        <v>588</v>
      </c>
      <c r="K75" s="84" t="s">
        <v>589</v>
      </c>
    </row>
    <row r="76" spans="2:11" s="4" customFormat="1" ht="94.5" x14ac:dyDescent="0.3">
      <c r="B76" s="73"/>
      <c r="C76" s="60"/>
      <c r="D76" s="61" t="s">
        <v>75</v>
      </c>
      <c r="E76" s="61" t="s">
        <v>181</v>
      </c>
      <c r="F76" s="82" t="s">
        <v>252</v>
      </c>
      <c r="G76" s="85" t="s">
        <v>277</v>
      </c>
      <c r="H76" s="86" t="s">
        <v>280</v>
      </c>
      <c r="I76" s="87" t="s">
        <v>590</v>
      </c>
      <c r="J76" s="87" t="s">
        <v>591</v>
      </c>
      <c r="K76" s="84" t="s">
        <v>592</v>
      </c>
    </row>
    <row r="77" spans="2:11" s="4" customFormat="1" ht="94.5" x14ac:dyDescent="0.3">
      <c r="B77" s="73"/>
      <c r="C77" s="60"/>
      <c r="D77" s="61" t="s">
        <v>76</v>
      </c>
      <c r="E77" s="61" t="s">
        <v>192</v>
      </c>
      <c r="F77" s="72" t="s">
        <v>253</v>
      </c>
      <c r="G77" s="85" t="s">
        <v>277</v>
      </c>
      <c r="H77" s="86" t="s">
        <v>280</v>
      </c>
      <c r="I77" s="87" t="s">
        <v>593</v>
      </c>
      <c r="J77" s="87" t="s">
        <v>594</v>
      </c>
      <c r="K77" s="84" t="s">
        <v>595</v>
      </c>
    </row>
    <row r="78" spans="2:11" s="4" customFormat="1" ht="67.5" x14ac:dyDescent="0.3">
      <c r="B78" s="73"/>
      <c r="C78" s="60"/>
      <c r="D78" s="61" t="s">
        <v>77</v>
      </c>
      <c r="E78" s="61" t="s">
        <v>6</v>
      </c>
      <c r="F78" s="72" t="s">
        <v>269</v>
      </c>
      <c r="G78" s="85" t="s">
        <v>277</v>
      </c>
      <c r="H78" s="86" t="s">
        <v>280</v>
      </c>
      <c r="I78" s="87" t="s">
        <v>596</v>
      </c>
      <c r="J78" s="87" t="s">
        <v>597</v>
      </c>
      <c r="K78" s="84" t="s">
        <v>598</v>
      </c>
    </row>
    <row r="79" spans="2:11" s="4" customFormat="1" ht="81" x14ac:dyDescent="0.3">
      <c r="B79" s="75"/>
      <c r="C79" s="64"/>
      <c r="D79" s="61" t="s">
        <v>78</v>
      </c>
      <c r="E79" s="61" t="s">
        <v>5</v>
      </c>
      <c r="F79" s="72" t="s">
        <v>270</v>
      </c>
      <c r="G79" s="85" t="s">
        <v>277</v>
      </c>
      <c r="H79" s="86" t="s">
        <v>280</v>
      </c>
      <c r="I79" s="87" t="s">
        <v>599</v>
      </c>
      <c r="J79" s="87" t="s">
        <v>600</v>
      </c>
      <c r="K79" s="84" t="s">
        <v>601</v>
      </c>
    </row>
    <row r="80" spans="2:11" s="4" customFormat="1" ht="54" x14ac:dyDescent="0.3">
      <c r="B80" s="77" t="s">
        <v>189</v>
      </c>
      <c r="C80" s="55" t="s">
        <v>347</v>
      </c>
      <c r="D80" s="61" t="s">
        <v>126</v>
      </c>
      <c r="E80" s="61" t="s">
        <v>26</v>
      </c>
      <c r="F80" s="72" t="s">
        <v>254</v>
      </c>
      <c r="G80" s="85" t="s">
        <v>277</v>
      </c>
      <c r="H80" s="86" t="s">
        <v>280</v>
      </c>
      <c r="I80" s="87" t="s">
        <v>602</v>
      </c>
      <c r="J80" s="87" t="s">
        <v>603</v>
      </c>
      <c r="K80" s="84" t="s">
        <v>604</v>
      </c>
    </row>
    <row r="81" spans="2:11" s="4" customFormat="1" ht="54" x14ac:dyDescent="0.3">
      <c r="B81" s="78"/>
      <c r="C81" s="60"/>
      <c r="D81" s="61" t="s">
        <v>79</v>
      </c>
      <c r="E81" s="61" t="s">
        <v>182</v>
      </c>
      <c r="F81" s="72" t="s">
        <v>255</v>
      </c>
      <c r="G81" s="85" t="s">
        <v>277</v>
      </c>
      <c r="H81" s="86" t="s">
        <v>280</v>
      </c>
      <c r="I81" s="87" t="s">
        <v>605</v>
      </c>
      <c r="J81" s="87" t="s">
        <v>606</v>
      </c>
      <c r="K81" s="84" t="s">
        <v>607</v>
      </c>
    </row>
    <row r="82" spans="2:11" s="4" customFormat="1" ht="40.5" x14ac:dyDescent="0.3">
      <c r="B82" s="78"/>
      <c r="C82" s="60"/>
      <c r="D82" s="61" t="s">
        <v>80</v>
      </c>
      <c r="E82" s="61" t="s">
        <v>353</v>
      </c>
      <c r="F82" s="72" t="s">
        <v>256</v>
      </c>
      <c r="G82" s="85" t="s">
        <v>277</v>
      </c>
      <c r="H82" s="86" t="s">
        <v>280</v>
      </c>
      <c r="I82" s="87" t="s">
        <v>608</v>
      </c>
      <c r="J82" s="87" t="s">
        <v>609</v>
      </c>
      <c r="K82" s="84" t="s">
        <v>610</v>
      </c>
    </row>
    <row r="83" spans="2:11" s="4" customFormat="1" ht="54" x14ac:dyDescent="0.3">
      <c r="B83" s="78"/>
      <c r="C83" s="60"/>
      <c r="D83" s="61" t="s">
        <v>81</v>
      </c>
      <c r="E83" s="61" t="s">
        <v>143</v>
      </c>
      <c r="F83" s="72" t="s">
        <v>257</v>
      </c>
      <c r="G83" s="85" t="s">
        <v>277</v>
      </c>
      <c r="H83" s="86" t="s">
        <v>280</v>
      </c>
      <c r="I83" s="87" t="s">
        <v>611</v>
      </c>
      <c r="J83" s="87" t="s">
        <v>612</v>
      </c>
      <c r="K83" s="84" t="s">
        <v>613</v>
      </c>
    </row>
    <row r="84" spans="2:11" s="4" customFormat="1" ht="94.5" x14ac:dyDescent="0.3">
      <c r="B84" s="81"/>
      <c r="C84" s="64"/>
      <c r="D84" s="61" t="s">
        <v>82</v>
      </c>
      <c r="E84" s="61" t="s">
        <v>144</v>
      </c>
      <c r="F84" s="72" t="s">
        <v>271</v>
      </c>
      <c r="G84" s="85" t="s">
        <v>277</v>
      </c>
      <c r="H84" s="86" t="s">
        <v>280</v>
      </c>
      <c r="I84" s="87" t="s">
        <v>614</v>
      </c>
      <c r="J84" s="87" t="s">
        <v>615</v>
      </c>
      <c r="K84" s="84" t="s">
        <v>604</v>
      </c>
    </row>
    <row r="85" spans="2:11" s="4" customFormat="1" ht="67.5" x14ac:dyDescent="0.3">
      <c r="B85" s="77" t="s">
        <v>190</v>
      </c>
      <c r="C85" s="55" t="s">
        <v>162</v>
      </c>
      <c r="D85" s="61" t="s">
        <v>127</v>
      </c>
      <c r="E85" s="61" t="s">
        <v>358</v>
      </c>
      <c r="F85" s="72" t="s">
        <v>258</v>
      </c>
      <c r="G85" s="85" t="s">
        <v>277</v>
      </c>
      <c r="H85" s="86" t="s">
        <v>280</v>
      </c>
      <c r="I85" s="87" t="s">
        <v>616</v>
      </c>
      <c r="J85" s="87" t="s">
        <v>617</v>
      </c>
      <c r="K85" s="84" t="s">
        <v>618</v>
      </c>
    </row>
    <row r="86" spans="2:11" s="4" customFormat="1" ht="40.5" x14ac:dyDescent="0.3">
      <c r="B86" s="81"/>
      <c r="C86" s="64"/>
      <c r="D86" s="61" t="s">
        <v>124</v>
      </c>
      <c r="E86" s="61" t="s">
        <v>139</v>
      </c>
      <c r="F86" s="72" t="s">
        <v>259</v>
      </c>
      <c r="G86" s="85" t="s">
        <v>277</v>
      </c>
      <c r="H86" s="86" t="s">
        <v>280</v>
      </c>
      <c r="I86" s="87" t="s">
        <v>619</v>
      </c>
      <c r="J86" s="87" t="s">
        <v>620</v>
      </c>
      <c r="K86" s="84" t="s">
        <v>621</v>
      </c>
    </row>
    <row r="87" spans="2:11" s="4" customFormat="1" ht="17.25" x14ac:dyDescent="0.3">
      <c r="B87" s="9" t="s">
        <v>356</v>
      </c>
      <c r="C87" s="14"/>
      <c r="D87" s="15"/>
      <c r="E87" s="13"/>
      <c r="F87" s="15"/>
      <c r="G87" s="13"/>
      <c r="H87" s="17"/>
      <c r="I87" s="15"/>
      <c r="J87" s="15"/>
      <c r="K87" s="15"/>
    </row>
    <row r="88" spans="2:11" s="4" customFormat="1" ht="67.5" x14ac:dyDescent="0.3">
      <c r="B88" s="54" t="s">
        <v>292</v>
      </c>
      <c r="C88" s="55" t="s">
        <v>289</v>
      </c>
      <c r="D88" s="61" t="s">
        <v>291</v>
      </c>
      <c r="E88" s="61" t="s">
        <v>357</v>
      </c>
      <c r="F88" s="72" t="s">
        <v>290</v>
      </c>
      <c r="G88" s="85" t="s">
        <v>623</v>
      </c>
      <c r="H88" s="58" t="s">
        <v>280</v>
      </c>
      <c r="I88" s="87" t="s">
        <v>638</v>
      </c>
      <c r="J88" s="83" t="s">
        <v>627</v>
      </c>
      <c r="K88" s="89" t="s">
        <v>628</v>
      </c>
    </row>
    <row r="89" spans="2:11" s="4" customFormat="1" ht="81" x14ac:dyDescent="0.3">
      <c r="B89" s="59"/>
      <c r="C89" s="60"/>
      <c r="D89" s="61" t="s">
        <v>83</v>
      </c>
      <c r="E89" s="61" t="s">
        <v>293</v>
      </c>
      <c r="F89" s="82" t="s">
        <v>294</v>
      </c>
      <c r="G89" s="85" t="s">
        <v>622</v>
      </c>
      <c r="H89" s="58" t="s">
        <v>280</v>
      </c>
      <c r="I89" s="87" t="s">
        <v>639</v>
      </c>
      <c r="J89" s="83" t="s">
        <v>627</v>
      </c>
      <c r="K89" s="89" t="s">
        <v>628</v>
      </c>
    </row>
    <row r="90" spans="2:11" s="4" customFormat="1" ht="54" x14ac:dyDescent="0.3">
      <c r="B90" s="59"/>
      <c r="C90" s="60"/>
      <c r="D90" s="61" t="s">
        <v>84</v>
      </c>
      <c r="E90" s="61" t="s">
        <v>295</v>
      </c>
      <c r="F90" s="72" t="s">
        <v>296</v>
      </c>
      <c r="G90" s="85" t="s">
        <v>622</v>
      </c>
      <c r="H90" s="58" t="s">
        <v>280</v>
      </c>
      <c r="I90" s="83" t="s">
        <v>640</v>
      </c>
      <c r="J90" s="83" t="s">
        <v>630</v>
      </c>
      <c r="K90" s="89" t="s">
        <v>628</v>
      </c>
    </row>
    <row r="91" spans="2:11" s="4" customFormat="1" ht="54" x14ac:dyDescent="0.3">
      <c r="B91" s="59"/>
      <c r="C91" s="60"/>
      <c r="D91" s="61" t="s">
        <v>85</v>
      </c>
      <c r="E91" s="61" t="s">
        <v>297</v>
      </c>
      <c r="F91" s="82" t="s">
        <v>298</v>
      </c>
      <c r="G91" s="85" t="s">
        <v>622</v>
      </c>
      <c r="H91" s="58" t="s">
        <v>635</v>
      </c>
      <c r="I91" s="83" t="s">
        <v>641</v>
      </c>
      <c r="J91" s="83" t="s">
        <v>631</v>
      </c>
      <c r="K91" s="89" t="s">
        <v>628</v>
      </c>
    </row>
    <row r="92" spans="2:11" s="4" customFormat="1" ht="54" x14ac:dyDescent="0.3">
      <c r="B92" s="59"/>
      <c r="C92" s="60"/>
      <c r="D92" s="61" t="s">
        <v>86</v>
      </c>
      <c r="E92" s="61" t="s">
        <v>299</v>
      </c>
      <c r="F92" s="82" t="s">
        <v>300</v>
      </c>
      <c r="G92" s="85" t="s">
        <v>632</v>
      </c>
      <c r="H92" s="58" t="s">
        <v>280</v>
      </c>
      <c r="I92" s="83" t="s">
        <v>642</v>
      </c>
      <c r="J92" s="83" t="s">
        <v>279</v>
      </c>
      <c r="K92" s="89" t="s">
        <v>279</v>
      </c>
    </row>
    <row r="93" spans="2:11" s="4" customFormat="1" ht="54" x14ac:dyDescent="0.3">
      <c r="B93" s="59"/>
      <c r="C93" s="60"/>
      <c r="D93" s="61" t="s">
        <v>301</v>
      </c>
      <c r="E93" s="61" t="s">
        <v>302</v>
      </c>
      <c r="F93" s="72" t="s">
        <v>303</v>
      </c>
      <c r="G93" s="85" t="s">
        <v>624</v>
      </c>
      <c r="H93" s="58" t="s">
        <v>280</v>
      </c>
      <c r="I93" s="83" t="s">
        <v>643</v>
      </c>
      <c r="J93" s="83" t="s">
        <v>633</v>
      </c>
      <c r="K93" s="89" t="s">
        <v>634</v>
      </c>
    </row>
    <row r="94" spans="2:11" s="4" customFormat="1" ht="40.5" x14ac:dyDescent="0.3">
      <c r="B94" s="63"/>
      <c r="C94" s="64"/>
      <c r="D94" s="61" t="s">
        <v>136</v>
      </c>
      <c r="E94" s="61" t="s">
        <v>304</v>
      </c>
      <c r="F94" s="72" t="s">
        <v>305</v>
      </c>
      <c r="G94" s="85" t="s">
        <v>650</v>
      </c>
      <c r="H94" s="58" t="s">
        <v>280</v>
      </c>
      <c r="I94" s="83" t="s">
        <v>646</v>
      </c>
      <c r="J94" s="83" t="s">
        <v>279</v>
      </c>
      <c r="K94" s="89" t="s">
        <v>279</v>
      </c>
    </row>
    <row r="95" spans="2:11" s="4" customFormat="1" ht="54" x14ac:dyDescent="0.3">
      <c r="B95" s="66" t="s">
        <v>306</v>
      </c>
      <c r="C95" s="55" t="s">
        <v>307</v>
      </c>
      <c r="D95" s="61" t="s">
        <v>308</v>
      </c>
      <c r="E95" s="61" t="s">
        <v>309</v>
      </c>
      <c r="F95" s="82" t="s">
        <v>310</v>
      </c>
      <c r="G95" s="85" t="s">
        <v>625</v>
      </c>
      <c r="H95" s="58" t="s">
        <v>280</v>
      </c>
      <c r="I95" s="83" t="s">
        <v>652</v>
      </c>
      <c r="J95" s="83" t="s">
        <v>644</v>
      </c>
      <c r="K95" s="89" t="s">
        <v>645</v>
      </c>
    </row>
    <row r="96" spans="2:11" s="4" customFormat="1" ht="40.5" x14ac:dyDescent="0.3">
      <c r="B96" s="67"/>
      <c r="C96" s="60"/>
      <c r="D96" s="61" t="s">
        <v>87</v>
      </c>
      <c r="E96" s="61" t="s">
        <v>311</v>
      </c>
      <c r="F96" s="82" t="s">
        <v>312</v>
      </c>
      <c r="G96" s="85" t="s">
        <v>624</v>
      </c>
      <c r="H96" s="58" t="s">
        <v>280</v>
      </c>
      <c r="I96" s="83" t="s">
        <v>653</v>
      </c>
      <c r="J96" s="83" t="s">
        <v>647</v>
      </c>
      <c r="K96" s="89" t="s">
        <v>648</v>
      </c>
    </row>
    <row r="97" spans="2:11" s="4" customFormat="1" ht="40.5" x14ac:dyDescent="0.3">
      <c r="B97" s="67"/>
      <c r="C97" s="60"/>
      <c r="D97" s="61" t="s">
        <v>88</v>
      </c>
      <c r="E97" s="61" t="s">
        <v>313</v>
      </c>
      <c r="F97" s="82" t="s">
        <v>314</v>
      </c>
      <c r="G97" s="85" t="s">
        <v>649</v>
      </c>
      <c r="H97" s="58" t="s">
        <v>280</v>
      </c>
      <c r="I97" s="83" t="s">
        <v>654</v>
      </c>
      <c r="J97" s="83" t="s">
        <v>279</v>
      </c>
      <c r="K97" s="89" t="s">
        <v>279</v>
      </c>
    </row>
    <row r="98" spans="2:11" s="4" customFormat="1" ht="54" x14ac:dyDescent="0.3">
      <c r="B98" s="67"/>
      <c r="C98" s="60"/>
      <c r="D98" s="61" t="s">
        <v>89</v>
      </c>
      <c r="E98" s="61" t="s">
        <v>16</v>
      </c>
      <c r="F98" s="72" t="s">
        <v>315</v>
      </c>
      <c r="G98" s="85" t="s">
        <v>651</v>
      </c>
      <c r="H98" s="58" t="s">
        <v>280</v>
      </c>
      <c r="I98" s="83" t="s">
        <v>655</v>
      </c>
      <c r="J98" s="83" t="s">
        <v>279</v>
      </c>
      <c r="K98" s="89" t="s">
        <v>279</v>
      </c>
    </row>
    <row r="99" spans="2:11" s="4" customFormat="1" ht="40.5" x14ac:dyDescent="0.3">
      <c r="B99" s="68"/>
      <c r="C99" s="64"/>
      <c r="D99" s="61" t="s">
        <v>141</v>
      </c>
      <c r="E99" s="61" t="s">
        <v>316</v>
      </c>
      <c r="F99" s="82" t="s">
        <v>317</v>
      </c>
      <c r="G99" s="85" t="s">
        <v>629</v>
      </c>
      <c r="H99" s="58" t="s">
        <v>280</v>
      </c>
      <c r="I99" s="83" t="s">
        <v>656</v>
      </c>
      <c r="J99" s="83" t="s">
        <v>279</v>
      </c>
      <c r="K99" s="89" t="s">
        <v>279</v>
      </c>
    </row>
    <row r="100" spans="2:11" s="4" customFormat="1" ht="40.5" x14ac:dyDescent="0.3">
      <c r="B100" s="66" t="s">
        <v>318</v>
      </c>
      <c r="C100" s="55" t="s">
        <v>319</v>
      </c>
      <c r="D100" s="61" t="s">
        <v>320</v>
      </c>
      <c r="E100" s="61" t="s">
        <v>321</v>
      </c>
      <c r="F100" s="72" t="s">
        <v>322</v>
      </c>
      <c r="G100" s="85" t="s">
        <v>658</v>
      </c>
      <c r="H100" s="58" t="s">
        <v>280</v>
      </c>
      <c r="I100" s="83" t="s">
        <v>657</v>
      </c>
      <c r="J100" s="83" t="s">
        <v>279</v>
      </c>
      <c r="K100" s="89" t="s">
        <v>279</v>
      </c>
    </row>
    <row r="101" spans="2:11" s="4" customFormat="1" ht="54" x14ac:dyDescent="0.3">
      <c r="B101" s="67"/>
      <c r="C101" s="60"/>
      <c r="D101" s="61" t="s">
        <v>90</v>
      </c>
      <c r="E101" s="61" t="s">
        <v>323</v>
      </c>
      <c r="F101" s="72" t="s">
        <v>324</v>
      </c>
      <c r="G101" s="85" t="s">
        <v>626</v>
      </c>
      <c r="H101" s="58" t="s">
        <v>280</v>
      </c>
      <c r="I101" s="83" t="s">
        <v>664</v>
      </c>
      <c r="J101" s="83" t="s">
        <v>659</v>
      </c>
      <c r="K101" s="89" t="s">
        <v>660</v>
      </c>
    </row>
    <row r="102" spans="2:11" s="4" customFormat="1" ht="40.5" x14ac:dyDescent="0.3">
      <c r="B102" s="67"/>
      <c r="C102" s="60"/>
      <c r="D102" s="61" t="s">
        <v>91</v>
      </c>
      <c r="E102" s="61" t="s">
        <v>325</v>
      </c>
      <c r="F102" s="82" t="s">
        <v>326</v>
      </c>
      <c r="G102" s="85" t="s">
        <v>661</v>
      </c>
      <c r="H102" s="58" t="s">
        <v>280</v>
      </c>
      <c r="I102" s="83" t="s">
        <v>665</v>
      </c>
      <c r="J102" s="83" t="s">
        <v>279</v>
      </c>
      <c r="K102" s="89" t="s">
        <v>279</v>
      </c>
    </row>
    <row r="103" spans="2:11" s="4" customFormat="1" ht="27" x14ac:dyDescent="0.3">
      <c r="B103" s="68"/>
      <c r="C103" s="64"/>
      <c r="D103" s="61" t="s">
        <v>92</v>
      </c>
      <c r="E103" s="61" t="s">
        <v>327</v>
      </c>
      <c r="F103" s="72" t="s">
        <v>328</v>
      </c>
      <c r="G103" s="85" t="s">
        <v>629</v>
      </c>
      <c r="H103" s="58" t="s">
        <v>280</v>
      </c>
      <c r="I103" s="83" t="s">
        <v>666</v>
      </c>
      <c r="J103" s="83" t="s">
        <v>279</v>
      </c>
      <c r="K103" s="89" t="s">
        <v>279</v>
      </c>
    </row>
    <row r="104" spans="2:11" s="4" customFormat="1" ht="81" x14ac:dyDescent="0.3">
      <c r="B104" s="66" t="s">
        <v>329</v>
      </c>
      <c r="C104" s="55" t="s">
        <v>330</v>
      </c>
      <c r="D104" s="61" t="s">
        <v>331</v>
      </c>
      <c r="E104" s="61" t="s">
        <v>332</v>
      </c>
      <c r="F104" s="82" t="s">
        <v>333</v>
      </c>
      <c r="G104" s="85" t="s">
        <v>624</v>
      </c>
      <c r="H104" s="58" t="s">
        <v>280</v>
      </c>
      <c r="I104" s="83" t="s">
        <v>667</v>
      </c>
      <c r="J104" s="83" t="s">
        <v>662</v>
      </c>
      <c r="K104" s="89" t="s">
        <v>592</v>
      </c>
    </row>
    <row r="105" spans="2:11" s="4" customFormat="1" ht="81" x14ac:dyDescent="0.3">
      <c r="B105" s="67"/>
      <c r="C105" s="60"/>
      <c r="D105" s="61" t="s">
        <v>93</v>
      </c>
      <c r="E105" s="61" t="s">
        <v>334</v>
      </c>
      <c r="F105" s="82" t="s">
        <v>335</v>
      </c>
      <c r="G105" s="85" t="s">
        <v>625</v>
      </c>
      <c r="H105" s="58" t="s">
        <v>280</v>
      </c>
      <c r="I105" s="83" t="s">
        <v>672</v>
      </c>
      <c r="J105" s="83" t="s">
        <v>662</v>
      </c>
      <c r="K105" s="89" t="s">
        <v>663</v>
      </c>
    </row>
    <row r="106" spans="2:11" s="4" customFormat="1" ht="40.5" x14ac:dyDescent="0.3">
      <c r="B106" s="66" t="s">
        <v>336</v>
      </c>
      <c r="C106" s="55" t="s">
        <v>337</v>
      </c>
      <c r="D106" s="61" t="s">
        <v>338</v>
      </c>
      <c r="E106" s="61" t="s">
        <v>339</v>
      </c>
      <c r="F106" s="82" t="s">
        <v>340</v>
      </c>
      <c r="G106" s="85" t="s">
        <v>624</v>
      </c>
      <c r="H106" s="58" t="s">
        <v>280</v>
      </c>
      <c r="I106" s="83" t="s">
        <v>673</v>
      </c>
      <c r="J106" s="83" t="s">
        <v>668</v>
      </c>
      <c r="K106" s="89" t="s">
        <v>669</v>
      </c>
    </row>
    <row r="107" spans="2:11" s="4" customFormat="1" ht="67.5" x14ac:dyDescent="0.3">
      <c r="B107" s="67"/>
      <c r="C107" s="60"/>
      <c r="D107" s="61" t="s">
        <v>94</v>
      </c>
      <c r="E107" s="61" t="s">
        <v>341</v>
      </c>
      <c r="F107" s="82" t="s">
        <v>342</v>
      </c>
      <c r="G107" s="85" t="s">
        <v>624</v>
      </c>
      <c r="H107" s="58" t="s">
        <v>280</v>
      </c>
      <c r="I107" s="83" t="s">
        <v>674</v>
      </c>
      <c r="J107" s="83" t="s">
        <v>670</v>
      </c>
      <c r="K107" s="89" t="s">
        <v>671</v>
      </c>
    </row>
    <row r="108" spans="2:11" s="4" customFormat="1" ht="40.5" x14ac:dyDescent="0.3">
      <c r="B108" s="68"/>
      <c r="C108" s="64"/>
      <c r="D108" s="61" t="s">
        <v>343</v>
      </c>
      <c r="E108" s="61" t="s">
        <v>344</v>
      </c>
      <c r="F108" s="72" t="s">
        <v>345</v>
      </c>
      <c r="G108" s="85" t="s">
        <v>675</v>
      </c>
      <c r="H108" s="58" t="s">
        <v>280</v>
      </c>
      <c r="I108" s="83" t="s">
        <v>676</v>
      </c>
      <c r="J108" s="83" t="s">
        <v>279</v>
      </c>
      <c r="K108" s="89" t="s">
        <v>279</v>
      </c>
    </row>
  </sheetData>
  <mergeCells count="2">
    <mergeCell ref="B4:C4"/>
    <mergeCell ref="D4:E4"/>
  </mergeCells>
  <phoneticPr fontId="1" type="noConversion"/>
  <conditionalFormatting sqref="H6:H108">
    <cfRule type="beginsWith" dxfId="2" priority="2" operator="beginsWith" text="ISMS-P">
      <formula>LEFT(H6,LEN("ISMS-P"))="ISMS-P"</formula>
    </cfRule>
    <cfRule type="beginsWith" dxfId="1" priority="3" operator="beginsWith" text="ISMS">
      <formula>LEFT(H6,LEN("ISMS"))="ISMS"</formula>
    </cfRule>
  </conditionalFormatting>
  <pageMargins left="0.70866141732283472" right="0.70866141732283472" top="0.74803149606299213" bottom="0.74803149606299213" header="0.31496062992125984" footer="0.31496062992125984"/>
  <pageSetup paperSize="9" scale="44" fitToHeight="0" orientation="landscape" r:id="rId1"/>
  <headerFoot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5A0627EF-29A5-4FDD-946A-5C6F00A43C1B}"/>
</file>

<file path=customXml/itemProps2.xml><?xml version="1.0" encoding="utf-8"?>
<ds:datastoreItem xmlns:ds="http://schemas.openxmlformats.org/officeDocument/2006/customXml" ds:itemID="{046B9004-E7D2-4B63-860E-6092012A3725}"/>
</file>

<file path=customXml/itemProps3.xml><?xml version="1.0" encoding="utf-8"?>
<ds:datastoreItem xmlns:ds="http://schemas.openxmlformats.org/officeDocument/2006/customXml" ds:itemID="{44414A97-3314-46AE-A760-26C3450F03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3</vt:i4>
      </vt:variant>
    </vt:vector>
  </HeadingPairs>
  <TitlesOfParts>
    <vt:vector size="5" baseType="lpstr">
      <vt:lpstr>통계</vt:lpstr>
      <vt:lpstr>ISMS-P</vt:lpstr>
      <vt:lpstr>'ISMS-P'!Print_Area</vt:lpstr>
      <vt:lpstr>통계!Print_Area</vt:lpstr>
      <vt:lpstr>'ISMS-P'!Print_Titles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2024-11-26T11:55:07Z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