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현재_통합_문서" defaultThemeVersion="124226"/>
  <bookViews>
    <workbookView xWindow="5820" yWindow="108" windowWidth="14808" windowHeight="8016"/>
  </bookViews>
  <sheets>
    <sheet name="심사일지" sheetId="4" r:id="rId1"/>
  </sheets>
  <definedNames>
    <definedName name="_xlnm._FilterDatabase" localSheetId="0" hidden="1">심사일지!$B$15:$I$120</definedName>
    <definedName name="_xlnm.Print_Area" localSheetId="0">심사일지!$B$15:$G$33</definedName>
  </definedNames>
  <calcPr calcId="152511"/>
</workbook>
</file>

<file path=xl/calcChain.xml><?xml version="1.0" encoding="utf-8"?>
<calcChain xmlns="http://schemas.openxmlformats.org/spreadsheetml/2006/main">
  <c r="I120" i="4" l="1"/>
  <c r="I82" i="4" l="1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18" i="4"/>
  <c r="G120" i="4"/>
  <c r="H120" i="4"/>
  <c r="F120" i="4"/>
</calcChain>
</file>

<file path=xl/sharedStrings.xml><?xml version="1.0" encoding="utf-8"?>
<sst xmlns="http://schemas.openxmlformats.org/spreadsheetml/2006/main" count="282" uniqueCount="280">
  <si>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</si>
  <si>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</si>
  <si>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</si>
  <si>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</si>
  <si>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</si>
  <si>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</si>
  <si>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패치관리</t>
  </si>
  <si>
    <t>항목</t>
  </si>
  <si>
    <t>변경관리</t>
  </si>
  <si>
    <t>클라우드 보안</t>
  </si>
  <si>
    <t>전자거래 및 핀테크 보안</t>
  </si>
  <si>
    <t>정보전송 보안</t>
  </si>
  <si>
    <t>정보자산의 재사용 및 폐기</t>
    <phoneticPr fontId="1" type="noConversion"/>
  </si>
  <si>
    <t>무선 네트워크 접근</t>
    <phoneticPr fontId="1" type="noConversion"/>
  </si>
  <si>
    <t>데이터베이스 접근</t>
    <phoneticPr fontId="1" type="noConversion"/>
  </si>
  <si>
    <t>간접수집 보호조치</t>
  </si>
  <si>
    <t>개인정보 목적 외 이용 및 제공</t>
  </si>
  <si>
    <t>개인정보의 파기</t>
  </si>
  <si>
    <t>영업의 양수 등에 따른 개인정보의 이전</t>
    <phoneticPr fontId="1" type="noConversion"/>
  </si>
  <si>
    <t>개인정보 수집 제한</t>
    <phoneticPr fontId="1" type="noConversion"/>
  </si>
  <si>
    <t>암호키 관리</t>
    <phoneticPr fontId="1" type="noConversion"/>
  </si>
  <si>
    <t>휴면 이용자 관리</t>
    <phoneticPr fontId="1" type="noConversion"/>
  </si>
  <si>
    <t>홍보 및 마케팅 목적 활용 시 조치</t>
    <phoneticPr fontId="1" type="noConversion"/>
  </si>
  <si>
    <t>개인정보 제3자 제공</t>
    <phoneticPr fontId="1" type="noConversion"/>
  </si>
  <si>
    <t>개인정보 품질보장</t>
    <phoneticPr fontId="1" type="noConversion"/>
  </si>
  <si>
    <t>인터넷 접속 통제</t>
    <phoneticPr fontId="1" type="noConversion"/>
  </si>
  <si>
    <t>업무 위탁에 따른 정보주체 고지</t>
    <phoneticPr fontId="1" type="noConversion"/>
  </si>
  <si>
    <t>개인정보의 수집 동의</t>
    <phoneticPr fontId="1" type="noConversion"/>
  </si>
  <si>
    <t>외부자 보안 이행 관리</t>
    <phoneticPr fontId="1" type="noConversion"/>
  </si>
  <si>
    <t>네트워크 접근</t>
    <phoneticPr fontId="1" type="noConversion"/>
  </si>
  <si>
    <t>시간 동기화</t>
    <phoneticPr fontId="1" type="noConversion"/>
  </si>
  <si>
    <t>관리체계 개선</t>
  </si>
  <si>
    <t>관리체계 점검</t>
    <phoneticPr fontId="1" type="noConversion"/>
  </si>
  <si>
    <t>인식제고 및 교육훈련</t>
    <phoneticPr fontId="1" type="noConversion"/>
  </si>
  <si>
    <t xml:space="preserve">영상정보처리기기 설치·운영 </t>
    <phoneticPr fontId="1" type="noConversion"/>
  </si>
  <si>
    <t>퇴직 및 직무변경 관리</t>
    <phoneticPr fontId="1" type="noConversion"/>
  </si>
  <si>
    <t>사고 예방 및 대응체계 구축</t>
    <phoneticPr fontId="1" type="noConversion"/>
  </si>
  <si>
    <t>주요 직무자 지정 및 관리</t>
    <phoneticPr fontId="1" type="noConversion"/>
  </si>
  <si>
    <t>개인정보 현황관리</t>
    <phoneticPr fontId="1" type="noConversion"/>
  </si>
  <si>
    <t>공개서버 보안</t>
    <phoneticPr fontId="1" type="noConversion"/>
  </si>
  <si>
    <t>1.1.1</t>
    <phoneticPr fontId="1" type="noConversion"/>
  </si>
  <si>
    <t>1.1.2</t>
    <phoneticPr fontId="1" type="noConversion"/>
  </si>
  <si>
    <t>위험 평가</t>
    <phoneticPr fontId="1" type="noConversion"/>
  </si>
  <si>
    <t>1.3.2</t>
    <phoneticPr fontId="1" type="noConversion"/>
  </si>
  <si>
    <t>1.3.3</t>
    <phoneticPr fontId="1" type="noConversion"/>
  </si>
  <si>
    <t>1.4.1</t>
    <phoneticPr fontId="1" type="noConversion"/>
  </si>
  <si>
    <t>1.4.2</t>
    <phoneticPr fontId="1" type="noConversion"/>
  </si>
  <si>
    <t>1.4.3</t>
    <phoneticPr fontId="1" type="noConversion"/>
  </si>
  <si>
    <t>원격접근 통제</t>
    <phoneticPr fontId="1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</si>
  <si>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</si>
  <si>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</si>
  <si>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</si>
  <si>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</si>
  <si>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</si>
  <si>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</si>
  <si>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</si>
  <si>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</si>
  <si>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</si>
  <si>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</si>
  <si>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</si>
  <si>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</si>
  <si>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</si>
  <si>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1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</si>
  <si>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</si>
  <si>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</si>
  <si>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</si>
  <si>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</si>
  <si>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</si>
  <si>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</si>
  <si>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</si>
  <si>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</si>
  <si>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</si>
  <si>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</si>
  <si>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</si>
  <si>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</si>
  <si>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2.9.1</t>
    <phoneticPr fontId="1" type="noConversion"/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</si>
  <si>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</si>
  <si>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</si>
  <si>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</si>
  <si>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</si>
  <si>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</si>
  <si>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</si>
  <si>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</si>
  <si>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</si>
  <si>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</si>
  <si>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</si>
  <si>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</si>
  <si>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</si>
  <si>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</si>
  <si>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</si>
  <si>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</si>
  <si>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</si>
  <si>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</si>
  <si>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</si>
  <si>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3.1.2</t>
  </si>
  <si>
    <t>3.1.3</t>
  </si>
  <si>
    <t>3.1.4</t>
  </si>
  <si>
    <t>3.1.5</t>
  </si>
  <si>
    <t>3.2.2</t>
  </si>
  <si>
    <t>3.2.3</t>
  </si>
  <si>
    <t>3.2.4</t>
  </si>
  <si>
    <t>3.3.2</t>
  </si>
  <si>
    <t>3.3.3</t>
  </si>
  <si>
    <t>3.3.4</t>
  </si>
  <si>
    <t>3.4.2</t>
  </si>
  <si>
    <t>3.4.3</t>
  </si>
  <si>
    <t>3.5.2</t>
  </si>
  <si>
    <t>조직 구성</t>
    <phoneticPr fontId="1" type="noConversion"/>
  </si>
  <si>
    <t>정책 수립</t>
    <phoneticPr fontId="1" type="noConversion"/>
  </si>
  <si>
    <t xml:space="preserve">범위 설정 </t>
    <phoneticPr fontId="1" type="noConversion"/>
  </si>
  <si>
    <t>자원 할당</t>
    <phoneticPr fontId="1" type="noConversion"/>
  </si>
  <si>
    <t>법적 요구사항 준수 검토</t>
    <phoneticPr fontId="1" type="noConversion"/>
  </si>
  <si>
    <t>2.1.1</t>
  </si>
  <si>
    <t>2.1.2</t>
  </si>
  <si>
    <t>2.1.3</t>
  </si>
  <si>
    <t>외부자 계약 변경 및 만료 시 보안</t>
    <phoneticPr fontId="1" type="noConversion"/>
  </si>
  <si>
    <t>시험 데이터 보안</t>
    <phoneticPr fontId="1" type="noConversion"/>
  </si>
  <si>
    <t>성능 및 장애관리</t>
    <phoneticPr fontId="1" type="noConversion"/>
  </si>
  <si>
    <t>백업 및 복구관리</t>
    <phoneticPr fontId="1" type="noConversion"/>
  </si>
  <si>
    <t>2.2.2</t>
  </si>
  <si>
    <t>2.2.3</t>
  </si>
  <si>
    <t>1.1.6</t>
  </si>
  <si>
    <t>1.2.1</t>
    <phoneticPr fontId="1" type="noConversion"/>
  </si>
  <si>
    <t>2.2.1</t>
    <phoneticPr fontId="1" type="noConversion"/>
  </si>
  <si>
    <t>2.2.4</t>
  </si>
  <si>
    <t>2.2.5</t>
  </si>
  <si>
    <t>2.3.1</t>
    <phoneticPr fontId="1" type="noConversion"/>
  </si>
  <si>
    <t>2.4.1</t>
    <phoneticPr fontId="1" type="noConversion"/>
  </si>
  <si>
    <t>2.4.2</t>
  </si>
  <si>
    <t>2.4.3</t>
  </si>
  <si>
    <t>2.4.4</t>
  </si>
  <si>
    <t>2.4.5</t>
  </si>
  <si>
    <t>2.4.6</t>
  </si>
  <si>
    <t>2.5.1</t>
    <phoneticPr fontId="1" type="noConversion"/>
  </si>
  <si>
    <t>2.7.1</t>
    <phoneticPr fontId="1" type="noConversion"/>
  </si>
  <si>
    <t>2.8.1</t>
    <phoneticPr fontId="1" type="noConversion"/>
  </si>
  <si>
    <t>2.12.2</t>
  </si>
  <si>
    <t>2.10.1</t>
    <phoneticPr fontId="1" type="noConversion"/>
  </si>
  <si>
    <t>2.11.1</t>
    <phoneticPr fontId="1" type="noConversion"/>
  </si>
  <si>
    <t>2.12.1</t>
    <phoneticPr fontId="1" type="noConversion"/>
  </si>
  <si>
    <t>정보주체 권리보장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</si>
  <si>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</si>
  <si>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</si>
  <si>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</si>
  <si>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3.4.1</t>
    <phoneticPr fontId="1" type="noConversion"/>
  </si>
  <si>
    <t>3.5.1</t>
    <phoneticPr fontId="1" type="noConversion"/>
  </si>
  <si>
    <t>3.5.3</t>
    <phoneticPr fontId="1" type="noConversion"/>
  </si>
  <si>
    <t>관리체계 운영</t>
    <phoneticPr fontId="1" type="noConversion"/>
  </si>
  <si>
    <t>현황 및 흐름분석</t>
    <phoneticPr fontId="1" type="noConversion"/>
  </si>
  <si>
    <t>정보자산 관리</t>
    <phoneticPr fontId="1" type="noConversion"/>
  </si>
  <si>
    <t>보안 요구사항 정의</t>
    <phoneticPr fontId="1" type="noConversion"/>
  </si>
  <si>
    <t>보안 요구사항 검토 및 시험</t>
    <phoneticPr fontId="1" type="noConversion"/>
  </si>
  <si>
    <t>보호대책 선정</t>
    <phoneticPr fontId="1" type="noConversion"/>
  </si>
  <si>
    <t>보호대책 구현</t>
    <phoneticPr fontId="1" type="noConversion"/>
  </si>
  <si>
    <t>민감정보 및 고유식별정보의 처리 제한</t>
    <phoneticPr fontId="1" type="noConversion"/>
  </si>
  <si>
    <t>주민등록번호 처리 제한</t>
    <phoneticPr fontId="1" type="noConversion"/>
  </si>
  <si>
    <t>조직의 유지관리</t>
    <phoneticPr fontId="1" type="noConversion"/>
  </si>
  <si>
    <t>보안 서약</t>
    <phoneticPr fontId="1" type="noConversion"/>
  </si>
  <si>
    <t>경영진의 참여</t>
    <phoneticPr fontId="1" type="noConversion"/>
  </si>
  <si>
    <t>3.1.7</t>
  </si>
  <si>
    <t>3.1.6</t>
    <phoneticPr fontId="1" type="noConversion"/>
  </si>
  <si>
    <t>로그 및 접속기록 관리</t>
    <phoneticPr fontId="1" type="noConversion"/>
  </si>
  <si>
    <t>로그 및 접속기록 점검</t>
    <phoneticPr fontId="1" type="noConversion"/>
  </si>
  <si>
    <t>재해, 재난 대비 안전조치</t>
    <phoneticPr fontId="1" type="noConversion"/>
  </si>
  <si>
    <t>재해 복구 시험 및 개선</t>
    <phoneticPr fontId="1" type="noConversion"/>
  </si>
  <si>
    <t xml:space="preserve"> 이상행위 분석 및 모니터링</t>
    <phoneticPr fontId="1" type="noConversion"/>
  </si>
  <si>
    <t>2.5.6</t>
    <phoneticPr fontId="1" type="noConversion"/>
  </si>
  <si>
    <t>3.2.5</t>
  </si>
  <si>
    <t>반출입 기기 통제</t>
    <phoneticPr fontId="1" type="noConversion"/>
  </si>
  <si>
    <t>사고 대응 훈련 및 개선</t>
    <phoneticPr fontId="1" type="noConversion"/>
  </si>
  <si>
    <t>사고 대응 및 복구</t>
    <phoneticPr fontId="1" type="noConversion"/>
  </si>
  <si>
    <t>암호정책 적용</t>
    <phoneticPr fontId="1" type="noConversion"/>
  </si>
  <si>
    <t>보안 위반 시 조치</t>
    <phoneticPr fontId="1" type="noConversion"/>
  </si>
  <si>
    <t>2.2.6</t>
  </si>
  <si>
    <t xml:space="preserve"> 출입통제</t>
    <phoneticPr fontId="1" type="noConversion"/>
  </si>
  <si>
    <t>보호구역 지정</t>
    <phoneticPr fontId="1" type="noConversion"/>
  </si>
  <si>
    <t>2.4.7</t>
  </si>
  <si>
    <t>정보시스템 보호</t>
    <phoneticPr fontId="1" type="noConversion"/>
  </si>
  <si>
    <t>보호설비 운영</t>
    <phoneticPr fontId="1" type="noConversion"/>
  </si>
  <si>
    <t xml:space="preserve"> 비밀번호 관리</t>
    <phoneticPr fontId="1" type="noConversion"/>
  </si>
  <si>
    <t>개인정보 수집 시 보호조치</t>
    <phoneticPr fontId="1" type="noConversion"/>
  </si>
  <si>
    <t xml:space="preserve">3.1. </t>
    <phoneticPr fontId="1" type="noConversion"/>
  </si>
  <si>
    <t xml:space="preserve">3.5. </t>
    <phoneticPr fontId="1" type="noConversion"/>
  </si>
  <si>
    <t>개인정보 파기 시 보호조치</t>
    <phoneticPr fontId="1" type="noConversion"/>
  </si>
  <si>
    <t xml:space="preserve">3.4. </t>
    <phoneticPr fontId="1" type="noConversion"/>
  </si>
  <si>
    <t>개인정보 보유 및 이용 시 보호조치</t>
    <phoneticPr fontId="1" type="noConversion"/>
  </si>
  <si>
    <t xml:space="preserve">3.2. </t>
    <phoneticPr fontId="1" type="noConversion"/>
  </si>
  <si>
    <t>개인정보 제공 시 보호조치</t>
    <phoneticPr fontId="1" type="noConversion"/>
  </si>
  <si>
    <t xml:space="preserve">3.3. </t>
    <phoneticPr fontId="1" type="noConversion"/>
  </si>
  <si>
    <t>정책, 조직, 자산 관리</t>
    <phoneticPr fontId="1" type="noConversion"/>
  </si>
  <si>
    <t xml:space="preserve">2.1. </t>
    <phoneticPr fontId="1" type="noConversion"/>
  </si>
  <si>
    <t>인적 보안</t>
    <phoneticPr fontId="1" type="noConversion"/>
  </si>
  <si>
    <t xml:space="preserve">2.2. </t>
    <phoneticPr fontId="1" type="noConversion"/>
  </si>
  <si>
    <t>외부자 보안</t>
    <phoneticPr fontId="1" type="noConversion"/>
  </si>
  <si>
    <t xml:space="preserve">2.3. </t>
    <phoneticPr fontId="1" type="noConversion"/>
  </si>
  <si>
    <t>물리 보안</t>
    <phoneticPr fontId="1" type="noConversion"/>
  </si>
  <si>
    <t xml:space="preserve">2.4. </t>
    <phoneticPr fontId="1" type="noConversion"/>
  </si>
  <si>
    <t>인증 및 권한관리</t>
    <phoneticPr fontId="1" type="noConversion"/>
  </si>
  <si>
    <t xml:space="preserve">접근통제 </t>
    <phoneticPr fontId="1" type="noConversion"/>
  </si>
  <si>
    <t xml:space="preserve"> 암호화 적용</t>
    <phoneticPr fontId="1" type="noConversion"/>
  </si>
  <si>
    <t>정보시스템 도입 및 개발 보안</t>
    <phoneticPr fontId="1" type="noConversion"/>
  </si>
  <si>
    <t>시스템 및 서비스 운영관리</t>
    <phoneticPr fontId="1" type="noConversion"/>
  </si>
  <si>
    <t>시스템 및 서비스 보안관리</t>
    <phoneticPr fontId="1" type="noConversion"/>
  </si>
  <si>
    <t xml:space="preserve"> 사고 예방 및 대응</t>
    <phoneticPr fontId="1" type="noConversion"/>
  </si>
  <si>
    <t>재해복구</t>
    <phoneticPr fontId="1" type="noConversion"/>
  </si>
  <si>
    <t>1.1.</t>
    <phoneticPr fontId="1" type="noConversion"/>
  </si>
  <si>
    <t>위험 관리</t>
    <phoneticPr fontId="1" type="noConversion"/>
  </si>
  <si>
    <t xml:space="preserve">1.2. </t>
    <phoneticPr fontId="1" type="noConversion"/>
  </si>
  <si>
    <t xml:space="preserve">1.3. </t>
    <phoneticPr fontId="1" type="noConversion"/>
  </si>
  <si>
    <t>관리체계 점검 및 개선</t>
    <phoneticPr fontId="1" type="noConversion"/>
  </si>
  <si>
    <t xml:space="preserve">1.4. </t>
    <phoneticPr fontId="1" type="noConversion"/>
  </si>
  <si>
    <t>정책의 유지관리</t>
    <phoneticPr fontId="1" type="noConversion"/>
  </si>
  <si>
    <t>1.3.1</t>
    <phoneticPr fontId="1" type="noConversion"/>
  </si>
  <si>
    <t>보호대책 공유</t>
    <phoneticPr fontId="1" type="noConversion"/>
  </si>
  <si>
    <t>운영현황 관리</t>
    <phoneticPr fontId="1" type="noConversion"/>
  </si>
  <si>
    <t>정보자산 식별</t>
    <phoneticPr fontId="1" type="noConversion"/>
  </si>
  <si>
    <t>사용자 식별</t>
    <phoneticPr fontId="1" type="noConversion"/>
  </si>
  <si>
    <t>특수 계정 및 권한 관리</t>
    <phoneticPr fontId="1" type="noConversion"/>
  </si>
  <si>
    <t>정보시스템 접근</t>
    <phoneticPr fontId="1" type="noConversion"/>
  </si>
  <si>
    <t>사용자 계정 관리</t>
    <phoneticPr fontId="1" type="noConversion"/>
  </si>
  <si>
    <t xml:space="preserve">시험과 운영 환경 분리 </t>
    <phoneticPr fontId="1" type="noConversion"/>
  </si>
  <si>
    <t>소스 프로그램 관리</t>
    <phoneticPr fontId="1" type="noConversion"/>
  </si>
  <si>
    <t>보안시스템 운영</t>
    <phoneticPr fontId="1" type="noConversion"/>
  </si>
  <si>
    <t>업무용 단말기기 보안</t>
    <phoneticPr fontId="1" type="noConversion"/>
  </si>
  <si>
    <t>취약점 점검 및 조치</t>
    <phoneticPr fontId="1" type="noConversion"/>
  </si>
  <si>
    <t>이용자 단말기 접근 보호</t>
    <phoneticPr fontId="1" type="noConversion"/>
  </si>
  <si>
    <t>개인정보의 국외이전</t>
    <phoneticPr fontId="1" type="noConversion"/>
  </si>
  <si>
    <t>처리목적 달성 후 보유 시 조치</t>
    <phoneticPr fontId="1" type="noConversion"/>
  </si>
  <si>
    <t>정보주체 권리보호</t>
    <phoneticPr fontId="1" type="noConversion"/>
  </si>
  <si>
    <t>개인정보처리방침 공개</t>
    <phoneticPr fontId="1" type="noConversion"/>
  </si>
  <si>
    <t>2.5.</t>
    <phoneticPr fontId="1" type="noConversion"/>
  </si>
  <si>
    <t>2.6.</t>
    <phoneticPr fontId="1" type="noConversion"/>
  </si>
  <si>
    <t>2.7.</t>
    <phoneticPr fontId="1" type="noConversion"/>
  </si>
  <si>
    <t>2.8.</t>
    <phoneticPr fontId="1" type="noConversion"/>
  </si>
  <si>
    <t>2.9.</t>
    <phoneticPr fontId="1" type="noConversion"/>
  </si>
  <si>
    <t>2.10.</t>
    <phoneticPr fontId="1" type="noConversion"/>
  </si>
  <si>
    <t>2.11.</t>
    <phoneticPr fontId="1" type="noConversion"/>
  </si>
  <si>
    <t xml:space="preserve">2.12. </t>
    <phoneticPr fontId="1" type="noConversion"/>
  </si>
  <si>
    <t>개인정보 표시제한 및 이용 시 보호조치</t>
    <phoneticPr fontId="1" type="noConversion"/>
  </si>
  <si>
    <t>외부자 현황 관리</t>
    <phoneticPr fontId="1" type="noConversion"/>
  </si>
  <si>
    <t>보조저장매체 관리</t>
    <phoneticPr fontId="1" type="noConversion"/>
  </si>
  <si>
    <t>이용내역 통지</t>
    <phoneticPr fontId="1" type="noConversion"/>
  </si>
  <si>
    <t>외부자 계약 시 보안</t>
    <phoneticPr fontId="1" type="noConversion"/>
  </si>
  <si>
    <t>최고책임자의 지정</t>
    <phoneticPr fontId="1" type="noConversion"/>
  </si>
  <si>
    <t>업무환경 보안</t>
    <phoneticPr fontId="1" type="noConversion"/>
  </si>
  <si>
    <t>응용프로그램 접근</t>
    <phoneticPr fontId="1" type="noConversion"/>
  </si>
  <si>
    <t xml:space="preserve"> 관리체계 기반 마련</t>
    <phoneticPr fontId="1" type="noConversion"/>
  </si>
  <si>
    <t>분야</t>
    <phoneticPr fontId="1" type="noConversion"/>
  </si>
  <si>
    <t>ISMS-P 인증기준</t>
    <phoneticPr fontId="1" type="noConversion"/>
  </si>
  <si>
    <t>인터뷰 내용</t>
    <phoneticPr fontId="1" type="noConversion"/>
  </si>
  <si>
    <t>결함 합계</t>
    <phoneticPr fontId="1" type="noConversion"/>
  </si>
  <si>
    <t>결함사항</t>
    <phoneticPr fontId="1" type="noConversion"/>
  </si>
  <si>
    <t>결함여부</t>
    <phoneticPr fontId="1" type="noConversion"/>
  </si>
  <si>
    <t>인증서 및 서비스별 결함사항</t>
    <phoneticPr fontId="1" type="noConversion"/>
  </si>
  <si>
    <t>서비스 및 인증기준별 심사원 확인사항</t>
    <phoneticPr fontId="1" type="noConversion"/>
  </si>
  <si>
    <t>구분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</si>
  <si>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인증기준별 결함사항</t>
    </r>
    <phoneticPr fontId="1" type="noConversion"/>
  </si>
  <si>
    <t>인터뷰 부서 및 대상</t>
    <phoneticPr fontId="1" type="noConversion"/>
  </si>
  <si>
    <t>확인문서 또는 시스템</t>
    <phoneticPr fontId="1" type="noConversion"/>
  </si>
  <si>
    <t>인증서 및 서비스별  심사원 확인사항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</si>
  <si>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인증서 또는 서비스별 인터뷰 사항</t>
    </r>
    <phoneticPr fontId="1" type="noConversion"/>
  </si>
  <si>
    <t>심사원명 : 김중대</t>
    <phoneticPr fontId="1" type="noConversion"/>
  </si>
  <si>
    <t>이수 IT /최한열 차장</t>
    <phoneticPr fontId="1" type="noConversion"/>
  </si>
  <si>
    <t>포스텍/ 조신우 과장</t>
    <phoneticPr fontId="1" type="noConversion"/>
  </si>
  <si>
    <t xml:space="preserve">[방화벽]
 - (내부방화벽: 10.22.0.14) 881 정책에서 출발지 IP와 목적지 IP가 모두 Any로 설정되어 있음(출발지, 목적지 IP 대역 제한 가능함)
 - (외부방화벽: 172.22.0.14) 681, 438 정책에서 출발지 IP가 Any로 설정되어 있음(출발지 IP 대역 제한 가능함)
 - 방화벽 서비스 신청서 내용과 실제 등록한 정책이 일관성이 미흡함
   . 스태이징 프로그램 설치 관련 정책에서 2024.05.16 ~ 2024.12.31로 적용기간 설정을 요청하였으나 실제 정책에서는 적용기간을 설정하지 않음
 - 외부망 방화벽(AXGATE 13000, 10.22.0.14)의 최종 업데이트 일자는 2023.11.24이나 내부망 방화벽(10.22.0.14)의 업데이트 일자는 2022.04.11임
[VPN]
 - VPN 솔루션(AXGATE 4000 172.22.200.2)에서 퇴사자 계정(dhkim(김*현))이 존재함(잠금 조치)
 - VPN(AXGATE 4000, 172.22.200.2)에서 최종 업데이트 일자가 2022.06.17임
[서버접근제어]
 - 서버접근제어 솔루션(Hiware 10.17.24.31)에서 장기 미접속 계정(남원식(협력사 퇴사자) 최종 접속일: 2023.3.20)이 존재함(잠금 조치)
[간호부 관리자페이지, 홈페이지 관리자페이지]
- 간호부 관리자페이지(kudn.dsmc.co.kr/nninc/login.php)에서 불필요한 계정(협력사 계정: piolink, user0305)이 존재함 (적용기간(24.0219~ 04.15) 제한으로 접속 불가)
 - 홈페이지 관리자 관리자페이지(dongsan.dsmc.co.kr/49870/nninc/login.php)에서 장기 미접속(2023.03.24) 계정(hnkim)이 존재함 (휴면 계정)
[자산 대장]
(권고) 정보자산 중 서버에에 금년 중 EOS가 도래하는 장비가 있음
 - CentOS 7.3 DB접근제어 서버, CentOS 7.9 홈페이지 DB 서버
 ** CentOS 7 - 출시 2014년 7월 7일  /  EOL 2024년 6월 30일 (10년)
</t>
    <phoneticPr fontId="1" type="noConversion"/>
  </si>
  <si>
    <t>[NAC]
- NAC 사용자 승인을 위한 별도 절차는 없고 현업에서 PC신청을 하면 PC담당자가 PC를 설치하면서 보안담당자(NAC)에게 NAC 승인을 전화로 요청하면 NAC 승인 처리함
[망연계]
- 파일 망간 전송하지 않음. 스트림 방식으로 망연계 이용함
[WAF]
- 관리자 계정에 불필요한 계정한 계정(ta**ng)이 존재함  * 협력업체 계정으로 적용기간이 2024.03.03까지로 접속을 불가함
[IPS]
 - IPS 관리자 계정에 대해 세션타임아웃을 설정하고 있지 않음
 - IPS 관리자 계정에 대한 동시 접속을 제한하고 있지 않음
[DLP]
 - DLP 솔루션에서 세션타임아웃을 설정하고 있지 않음
 - DLP 솔루션에서 로그백업을 하고 있지 않음(* CM 프로그램에서 로그 백업 기능은 있으나 사용하고 있지 않음)</t>
    <phoneticPr fontId="1" type="noConversion"/>
  </si>
  <si>
    <t>[v3 EPP]
 - Ahnlap EPP 관리자 계정에 대해 접근 IP제한을 하고 있지 않음
 - Ahnlap EPP 관리자 계정에서 세션타임아웃을 20분으로 설정하고 있음  * (타 보안솔루션 10분 설정)
 - AnLap epp 솔루션에서 로그백업을 하고 있지 않음(*로그 조회 후 파일 저장하여 백업할 수 있음)
[넷헬퍼]
 - 넷헬퍼 관리자 계정에 대해  접근 IP제한을 하고 있지 않음
[단말기] 
 - 넷헬퍼 관리자(조*우) 단말기 비밀번호 조합규칙을 설정하고 있지 않음
   . 비밀번호 최소사용기간을 설정하지 않음
   . 로그인 횟수 제한을 설정하지 않음
 - 보안 담당자(최*열) 단말기에서 감사로그를 설정하지 않음
[서버실]
 - 출입통제장치 설치되어 있음
 - CCTV 설치되어 있음
 - 출입관리대장 작성함
 - UPS,  항온항습기 존재함
 - 할론 소화기 3기 존재함
 - 화재 감지장치 존재함
 - 장비 배치도 존재함
 - 랙 시건장치 설치되어 있음
 - 전원 이중화 되어 있음
 - 배선 바닥으로 연결되어 있음</t>
    <phoneticPr fontId="1" type="noConversion"/>
  </si>
  <si>
    <t>방화벽(AXGATE)
VPN(AXGATE4000)
서버접근제어(HIWARE)
정보자산 대장</t>
    <phoneticPr fontId="1" type="noConversion"/>
  </si>
  <si>
    <t>NAC(Ginian Nac
망연계 솔루션(i-oneNET 3.0) 
WAF(WAPPLES 2400)
IPS(SPIPER-One-i)
DLP(Privacy-i)</t>
    <phoneticPr fontId="1" type="noConversion"/>
  </si>
  <si>
    <t>V3 EPP
넷헬퍼(NetHelper 7)
서버실
단말기</t>
    <phoneticPr fontId="1" type="noConversion"/>
  </si>
  <si>
    <t>일부 보안솔루션에서 계정관리가 미흡함
 - 웹방화벽(WAPPLES) 관리자 계정에 불필요한 계정한 계정(ta**ng)이 존재함  * 협력업체 계정으로 적용기간이 2024.03.03까지로 접속을 불가함
 - 서버접근제어 솔루션(Hiware 10.17.24.31)에서 장기 미접속 계정(남원식(협력사 퇴사자) 최종 접속일: 2023.3.20)이 존재함(잠금 조치)
 - VPN 솔루션(AXGATE 4000 172.22.200.2)에서 퇴사자 계정(dhkim(김*현))이 존재함(잠금 조치)
 - 간호부 관리자페이지(kudn.dsmc.co.kr/nninc/login.php)에서 불필요한 계정(협력사 계정: piolink, user0305)이 존재함 (적용기간(24.0219~ 04.15) 제한으로 접속 불가)
 - 홈페이지 관리자 관리자페이지(dongsan.dsmc.co.kr/49870/nninc/login.php)에서 장기 미접속(2023.03.24) 계정(hnkim)이 존재함 (휴면 계정)</t>
    <phoneticPr fontId="18" type="noConversion"/>
  </si>
  <si>
    <t>일부 보안솔루션 관리자 계정으로 보안솔루션 접근 시 접근통제가 미흡함
 - 넷헬퍼 관리자 계정에 대해  접근 IP제한을 하고 있지 않음
 - Ahnlap EPP 관리자 계정에 대해 접근 IP제한을 하고 있지 않음
 - Ahnlap EPP 관리자 계정에서 세션타임아웃을 20분으로 설정하고 있음  * (타 보안솔루션 10분 설정)
 - DLP 솔루션에서 세션타임아웃을 설정하고 있지 않음
 - IPS 관리자 계정에 대해 세션타임아웃을 설정하고 있지 않음
 - IPS 관리자 계정에 대한 동시 접속을 제한하고 있지 않음</t>
    <phoneticPr fontId="18" type="noConversion"/>
  </si>
  <si>
    <t xml:space="preserve">일부 보안솔루션에서 로그를 백업하고 있지 않음
 - AnLap epp 솔루션에서 로그백업을 하고 있지 않음(*로그 조회 후 파일 저장하여 백업할 수 있음)
 - DLP 솔루션에서 로그백업을 하고 있지 않음(* CM 프로그램에서 로그 백업 기능은 있으나 사용하고 있지 않음)
</t>
    <phoneticPr fontId="18" type="noConversion"/>
  </si>
  <si>
    <r>
      <t xml:space="preserve">일부 방화벽에서 미흡하게 관리하는 정책(ruleset)이 존재함
 - (내부방화벽: 10.22.0.14) 881 정책에서 출발지 IP와 목적지 IP가 모두 Any로 설정되어 있음(출발지, 목적지 IP 대역 제한 가능함)
 - (외부방화벽: 172.22.0.14) 681, 438 정책에서 출발지 IP가 Any로 설정되어 있음(출발지 IP 대역 제한 가능함)
</t>
    </r>
    <r>
      <rPr>
        <sz val="10"/>
        <rFont val="맑은 고딕"/>
        <family val="3"/>
        <charset val="129"/>
      </rPr>
      <t xml:space="preserve">** </t>
    </r>
    <r>
      <rPr>
        <sz val="10"/>
        <rFont val="맑은 고딕"/>
        <family val="3"/>
        <charset val="129"/>
        <scheme val="minor"/>
      </rPr>
      <t xml:space="preserve">(권고) 방화벽 서비스 신청서 내용과 실제 등록한 정책이 일관성이 미흡함
  - 스태이징 프로그램 설치 관련 정책에서 2024.05.16 ~ 2024.12.31로 적용기간 설정을 요청하였으나 실제 정책에서는 적용기간을 설정하지 않음
    (방화벽 담당자가 적용기간 이후에도 지속적으로 사용할 필요가 있는 정책으로 판단하여 적용기간 설정하지 않음)
</t>
    </r>
    <phoneticPr fontId="18" type="noConversion"/>
  </si>
  <si>
    <t>- 일부 업무용 단말기(WINDOWS 10)에서 보안설정이 미흡함
 - 넷헬퍼 관리자(조*우) 단말기 비밀번호 조합규칙을 설정하고 있지 않음
   . 비밀번호 최소사용기간을 설정하지 않음
   . 로그인 횟수 제한을 설정하지 않음
 - 보안 담당자(최*열) 단말기에서 감사로그를 설정하지 않음</t>
    <phoneticPr fontId="18" type="noConversion"/>
  </si>
  <si>
    <t>일부 보안솔루션의 패치 관리가 미흡함
 - 외부망 방화벽(AXGATE 13000, 10.22.0.14)의 최종 업데이트 일자는 2023.11.24이나 내부망 방화벽(10.22.0.14)의 업데이트 일자는 2022.04.11임
 - VPN(AXGATE 4000, 172.22.200.2)에서 최종 업데이트 일자가 2022.06.17임
(권고) 정보자산 중 서버에에 금년 중 EOS가 도래하는 장비가 있음
 - CentOS 7.3 DB접근제어 서버
 - CentOS 7.9 홈페이지 DB 서버
 ** CentOS 7 - 출시 2014년 7월 7일  /  EOL 2024년 6월 30일 (10년)</t>
    <phoneticPr fontId="18" type="noConversion"/>
  </si>
  <si>
    <t>의료정보시스템 및 홈페이지 운영
(방화벽, VPN, 서버접근제어, 간호부/홈페이지 관리자페이지)</t>
    <phoneticPr fontId="1" type="noConversion"/>
  </si>
  <si>
    <t>의료정보시스템 및 홈페이지 운영
(NAC, 망연계, WAF, IPS, DLP)</t>
    <phoneticPr fontId="1" type="noConversion"/>
  </si>
  <si>
    <t>의료정보시스템 및 홈페이지 운영
(V3 EPP, 넷헬퍼, 서버실, 단말기)</t>
    <phoneticPr fontId="1" type="noConversion"/>
  </si>
  <si>
    <t>이수 IT /최한열 차장, 
기획성과팀 /한진우 사원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</si>
</sst>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4">
    <xf numFmtId="0" fontId="0" fillId="0" borderId="0" xfId="0"/>
    <xf numFmtId="0" fontId="0" fillId="0" borderId="0" xfId="0" applyFill="1"/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6" fillId="0" borderId="3" xfId="0" applyFont="1" applyFill="1" applyBorder="1"/>
    <xf numFmtId="0" fontId="5" fillId="0" borderId="3" xfId="0" applyFont="1" applyFill="1" applyBorder="1" applyAlignment="1">
      <alignment horizontal="justify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6" fillId="0" borderId="3" xfId="0" quotePrefix="1" applyFont="1" applyBorder="1" applyAlignment="1">
      <alignment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justify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0" fillId="0" borderId="3" xfId="0" applyFill="1" applyBorder="1"/>
    <xf numFmtId="0" fontId="0" fillId="0" borderId="3" xfId="0" applyBorder="1"/>
    <xf numFmtId="0" fontId="3" fillId="0" borderId="9" xfId="0" applyFont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2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0" fillId="0" borderId="45" xfId="0" applyFill="1" applyBorder="1"/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left" vertical="center" wrapText="1"/>
    </xf>
    <xf numFmtId="0" fontId="0" fillId="0" borderId="50" xfId="0" applyBorder="1"/>
    <xf numFmtId="0" fontId="0" fillId="0" borderId="50" xfId="0" applyBorder="1" applyAlignment="1">
      <alignment horizontal="center"/>
    </xf>
    <xf numFmtId="0" fontId="0" fillId="0" borderId="50" xfId="0" applyBorder="1" applyAlignment="1">
      <alignment horizontal="center" wrapText="1"/>
    </xf>
    <xf numFmtId="0" fontId="0" fillId="0" borderId="50" xfId="0" applyBorder="1" applyAlignment="1">
      <alignment wrapText="1"/>
    </xf>
    <xf numFmtId="0" fontId="0" fillId="0" borderId="50" xfId="0" applyFill="1" applyBorder="1"/>
    <xf numFmtId="0" fontId="12" fillId="0" borderId="50" xfId="0" applyFont="1" applyBorder="1" applyAlignment="1">
      <alignment horizontal="left"/>
    </xf>
    <xf numFmtId="0" fontId="12" fillId="0" borderId="50" xfId="0" applyFont="1" applyFill="1" applyBorder="1" applyAlignment="1">
      <alignment horizontal="left"/>
    </xf>
    <xf numFmtId="0" fontId="17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center" vertical="center"/>
    </xf>
    <xf numFmtId="0" fontId="4" fillId="0" borderId="51" xfId="0" applyFont="1" applyBorder="1" applyAlignment="1">
      <alignment horizontal="left"/>
    </xf>
    <xf numFmtId="0" fontId="0" fillId="0" borderId="51" xfId="0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51" xfId="0" applyFill="1" applyBorder="1"/>
    <xf numFmtId="0" fontId="0" fillId="0" borderId="51" xfId="0" applyBorder="1"/>
    <xf numFmtId="0" fontId="7" fillId="2" borderId="4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center" vertical="center" wrapText="1"/>
    </xf>
    <xf numFmtId="0" fontId="15" fillId="2" borderId="48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16" fillId="0" borderId="3" xfId="0" quotePrefix="1" applyFont="1" applyFill="1" applyBorder="1" applyAlignment="1">
      <alignment horizontal="left" vertical="center" wrapText="1"/>
    </xf>
    <xf numFmtId="0" fontId="16" fillId="0" borderId="3" xfId="0" quotePrefix="1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6" fillId="0" borderId="52" xfId="0" applyFont="1" applyFill="1" applyBorder="1" applyAlignment="1">
      <alignment horizontal="justify" vertical="center" wrapText="1"/>
    </xf>
    <xf numFmtId="0" fontId="5" fillId="0" borderId="52" xfId="0" applyFont="1" applyFill="1" applyBorder="1" applyAlignment="1">
      <alignment horizontal="justify" vertical="center" wrapText="1"/>
    </xf>
    <xf numFmtId="0" fontId="5" fillId="0" borderId="52" xfId="0" quotePrefix="1" applyFont="1" applyFill="1" applyBorder="1" applyAlignment="1">
      <alignment horizontal="justify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</cellXfs>
  <cellStyles count="4">
    <cellStyle name="표준" xfId="0" builtinId="0"/>
    <cellStyle name="표준 11" xfId="3"/>
    <cellStyle name="표준 2" xfId="1"/>
    <cellStyle name="표준 4" xfId="2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3"/>
  <sheetViews>
    <sheetView tabSelected="1" topLeftCell="A4" zoomScale="45" zoomScaleNormal="45" zoomScaleSheetLayoutView="70" workbookViewId="0">
      <pane xSplit="1" ySplit="14" topLeftCell="B93" activePane="bottomRight" state="frozen"/>
      <selection activeCell="A4" sqref="A4"/>
      <selection pane="topRight" activeCell="B4" sqref="B4"/>
      <selection pane="bottomLeft" activeCell="A11" sqref="A11"/>
      <selection pane="bottomRight" activeCell="M11" sqref="M11"/>
    </sheetView>
  </sheetViews>
  <sheetFormatPr defaultRowHeight="17.399999999999999" x14ac:dyDescent="0.4"/>
  <cols>
    <col min="1" max="1" width="4.8984375" customWidth="1"/>
    <col min="2" max="2" width="6" style="35" customWidth="1"/>
    <col min="3" max="3" width="12.69921875" style="68" customWidth="1"/>
    <col min="4" max="4" width="5.59765625" style="69" customWidth="1"/>
    <col min="5" max="5" width="25.5" style="69" customWidth="1"/>
    <col min="6" max="6" width="36.09765625" style="1" customWidth="1"/>
    <col min="7" max="8" width="36.09765625" customWidth="1"/>
    <col min="9" max="9" width="11.8984375" style="67" customWidth="1"/>
  </cols>
  <sheetData>
    <row r="1" spans="2:9" ht="16.5" customHeight="1" x14ac:dyDescent="0.4"/>
    <row r="2" spans="2:9" ht="33" customHeight="1" x14ac:dyDescent="0.4">
      <c r="C2" s="71" t="s">
        <v>254</v>
      </c>
      <c r="D2" s="71"/>
      <c r="E2" s="71"/>
      <c r="F2" s="71"/>
    </row>
    <row r="4" spans="2:9" s="79" customFormat="1" x14ac:dyDescent="0.4">
      <c r="B4" s="80"/>
      <c r="C4" s="81"/>
      <c r="D4" s="82"/>
      <c r="E4" s="82"/>
      <c r="F4" s="83"/>
      <c r="I4" s="87"/>
    </row>
    <row r="5" spans="2:9" s="79" customFormat="1" ht="36" customHeight="1" x14ac:dyDescent="0.4">
      <c r="B5" s="84" t="s">
        <v>259</v>
      </c>
      <c r="C5" s="84"/>
      <c r="D5" s="84"/>
      <c r="E5" s="84"/>
      <c r="F5" s="85"/>
      <c r="G5" s="84"/>
      <c r="H5" s="84"/>
      <c r="I5" s="87"/>
    </row>
    <row r="6" spans="2:9" s="79" customFormat="1" ht="18" customHeight="1" x14ac:dyDescent="0.4">
      <c r="B6" s="84"/>
      <c r="C6" s="84"/>
      <c r="D6" s="84"/>
      <c r="E6" s="84"/>
      <c r="F6" s="85"/>
      <c r="G6" s="84"/>
      <c r="H6" s="84"/>
      <c r="I6" s="87"/>
    </row>
    <row r="7" spans="2:9" s="79" customFormat="1" ht="23.4" x14ac:dyDescent="0.4">
      <c r="B7" s="86" t="s">
        <v>261</v>
      </c>
      <c r="C7" s="84"/>
      <c r="D7" s="84"/>
      <c r="E7" s="84"/>
      <c r="F7" s="85"/>
      <c r="G7" s="84"/>
      <c r="H7" s="84"/>
      <c r="I7" s="87"/>
    </row>
    <row r="8" spans="2:9" s="79" customFormat="1" ht="23.4" x14ac:dyDescent="0.4">
      <c r="B8" s="86"/>
      <c r="C8" s="84"/>
      <c r="D8" s="84"/>
      <c r="E8" s="84"/>
      <c r="F8" s="85"/>
      <c r="G8" s="84"/>
      <c r="H8" s="84"/>
      <c r="I8" s="87"/>
    </row>
    <row r="9" spans="2:9" s="79" customFormat="1" x14ac:dyDescent="0.4">
      <c r="B9" s="88" t="s">
        <v>260</v>
      </c>
      <c r="C9" s="89"/>
      <c r="D9" s="90"/>
      <c r="E9" s="90"/>
      <c r="F9" s="91"/>
      <c r="G9" s="92"/>
      <c r="H9" s="92"/>
      <c r="I9" s="87"/>
    </row>
    <row r="10" spans="2:9" ht="63.6" customHeight="1" x14ac:dyDescent="0.4">
      <c r="B10" s="98" t="s">
        <v>255</v>
      </c>
      <c r="C10" s="98"/>
      <c r="D10" s="98"/>
      <c r="E10" s="98"/>
      <c r="F10" s="112" t="s">
        <v>276</v>
      </c>
      <c r="G10" s="112" t="s">
        <v>277</v>
      </c>
      <c r="H10" s="112" t="s">
        <v>278</v>
      </c>
    </row>
    <row r="11" spans="2:9" ht="36.6" customHeight="1" x14ac:dyDescent="0.4">
      <c r="B11" s="99" t="s">
        <v>257</v>
      </c>
      <c r="C11" s="99"/>
      <c r="D11" s="99"/>
      <c r="E11" s="99"/>
      <c r="F11" s="113" t="s">
        <v>279</v>
      </c>
      <c r="G11" s="77" t="s">
        <v>262</v>
      </c>
      <c r="H11" s="77" t="s">
        <v>263</v>
      </c>
    </row>
    <row r="12" spans="2:9" ht="241.8" customHeight="1" x14ac:dyDescent="0.4">
      <c r="B12" s="100" t="s">
        <v>249</v>
      </c>
      <c r="C12" s="100"/>
      <c r="D12" s="100"/>
      <c r="E12" s="100"/>
      <c r="F12" s="106" t="s">
        <v>264</v>
      </c>
      <c r="G12" s="107" t="s">
        <v>265</v>
      </c>
      <c r="H12" s="107" t="s">
        <v>266</v>
      </c>
    </row>
    <row r="13" spans="2:9" ht="78" customHeight="1" x14ac:dyDescent="0.4">
      <c r="B13" s="100" t="s">
        <v>258</v>
      </c>
      <c r="C13" s="100"/>
      <c r="D13" s="100"/>
      <c r="E13" s="100"/>
      <c r="F13" s="78" t="s">
        <v>267</v>
      </c>
      <c r="G13" s="108" t="s">
        <v>268</v>
      </c>
      <c r="H13" s="108" t="s">
        <v>269</v>
      </c>
    </row>
    <row r="15" spans="2:9" ht="18" thickBot="1" x14ac:dyDescent="0.45">
      <c r="B15" s="66" t="s">
        <v>256</v>
      </c>
    </row>
    <row r="16" spans="2:9" x14ac:dyDescent="0.4">
      <c r="B16" s="102" t="s">
        <v>248</v>
      </c>
      <c r="C16" s="103"/>
      <c r="D16" s="103"/>
      <c r="E16" s="103"/>
      <c r="F16" s="105" t="s">
        <v>253</v>
      </c>
      <c r="G16" s="105"/>
      <c r="H16" s="105"/>
      <c r="I16" s="93" t="s">
        <v>252</v>
      </c>
    </row>
    <row r="17" spans="2:9" x14ac:dyDescent="0.4">
      <c r="B17" s="104" t="s">
        <v>247</v>
      </c>
      <c r="C17" s="101"/>
      <c r="D17" s="101" t="s">
        <v>7</v>
      </c>
      <c r="E17" s="101"/>
      <c r="F17" s="72" t="s">
        <v>251</v>
      </c>
      <c r="G17" s="72" t="s">
        <v>251</v>
      </c>
      <c r="H17" s="72" t="s">
        <v>251</v>
      </c>
      <c r="I17" s="94"/>
    </row>
    <row r="18" spans="2:9" ht="31.2" x14ac:dyDescent="0.4">
      <c r="B18" s="42" t="s">
        <v>205</v>
      </c>
      <c r="C18" s="31" t="s">
        <v>246</v>
      </c>
      <c r="D18" s="23" t="s">
        <v>40</v>
      </c>
      <c r="E18" s="23" t="s">
        <v>158</v>
      </c>
      <c r="F18" s="13"/>
      <c r="G18" s="15"/>
      <c r="H18" s="60"/>
      <c r="I18" s="74">
        <f t="shared" ref="I18:I49" si="0">COUNTA(F18:H18)</f>
        <v>0</v>
      </c>
    </row>
    <row r="19" spans="2:9" x14ac:dyDescent="0.4">
      <c r="B19" s="42"/>
      <c r="C19" s="31"/>
      <c r="D19" s="4" t="s">
        <v>41</v>
      </c>
      <c r="E19" s="4" t="s">
        <v>243</v>
      </c>
      <c r="F19" s="13"/>
      <c r="G19" s="15"/>
      <c r="H19" s="60"/>
      <c r="I19" s="74">
        <f t="shared" si="0"/>
        <v>0</v>
      </c>
    </row>
    <row r="20" spans="2:9" x14ac:dyDescent="0.4">
      <c r="B20" s="42"/>
      <c r="C20" s="31"/>
      <c r="D20" s="8" t="s">
        <v>49</v>
      </c>
      <c r="E20" s="4" t="s">
        <v>107</v>
      </c>
      <c r="F20" s="13"/>
      <c r="G20" s="7"/>
      <c r="H20" s="60"/>
      <c r="I20" s="74">
        <f t="shared" si="0"/>
        <v>0</v>
      </c>
    </row>
    <row r="21" spans="2:9" x14ac:dyDescent="0.4">
      <c r="B21" s="42"/>
      <c r="C21" s="31"/>
      <c r="D21" s="4" t="s">
        <v>50</v>
      </c>
      <c r="E21" s="4" t="s">
        <v>109</v>
      </c>
      <c r="F21" s="13"/>
      <c r="G21" s="7"/>
      <c r="H21" s="60"/>
      <c r="I21" s="74">
        <f t="shared" si="0"/>
        <v>0</v>
      </c>
    </row>
    <row r="22" spans="2:9" x14ac:dyDescent="0.4">
      <c r="B22" s="42"/>
      <c r="C22" s="31"/>
      <c r="D22" s="4" t="s">
        <v>51</v>
      </c>
      <c r="E22" s="4" t="s">
        <v>108</v>
      </c>
      <c r="F22" s="14"/>
      <c r="G22" s="7"/>
      <c r="H22" s="60"/>
      <c r="I22" s="74">
        <f t="shared" si="0"/>
        <v>0</v>
      </c>
    </row>
    <row r="23" spans="2:9" x14ac:dyDescent="0.4">
      <c r="B23" s="43"/>
      <c r="C23" s="31"/>
      <c r="D23" s="4" t="s">
        <v>121</v>
      </c>
      <c r="E23" s="4" t="s">
        <v>110</v>
      </c>
      <c r="F23" s="13"/>
      <c r="G23" s="7"/>
      <c r="H23" s="60"/>
      <c r="I23" s="74">
        <f t="shared" si="0"/>
        <v>0</v>
      </c>
    </row>
    <row r="24" spans="2:9" x14ac:dyDescent="0.4">
      <c r="B24" s="42" t="s">
        <v>207</v>
      </c>
      <c r="C24" s="36" t="s">
        <v>206</v>
      </c>
      <c r="D24" s="4" t="s">
        <v>122</v>
      </c>
      <c r="E24" s="4" t="s">
        <v>215</v>
      </c>
      <c r="F24" s="29"/>
      <c r="G24" s="7"/>
      <c r="H24" s="60"/>
      <c r="I24" s="74">
        <f t="shared" si="0"/>
        <v>0</v>
      </c>
    </row>
    <row r="25" spans="2:9" s="1" customFormat="1" x14ac:dyDescent="0.4">
      <c r="B25" s="44"/>
      <c r="C25" s="9"/>
      <c r="D25" s="4" t="s">
        <v>52</v>
      </c>
      <c r="E25" s="4" t="s">
        <v>148</v>
      </c>
      <c r="F25" s="30"/>
      <c r="G25" s="12"/>
      <c r="H25" s="59"/>
      <c r="I25" s="74">
        <f t="shared" si="0"/>
        <v>0</v>
      </c>
    </row>
    <row r="26" spans="2:9" x14ac:dyDescent="0.4">
      <c r="B26" s="42"/>
      <c r="C26" s="9"/>
      <c r="D26" s="4" t="s">
        <v>53</v>
      </c>
      <c r="E26" s="4" t="s">
        <v>42</v>
      </c>
      <c r="F26" s="13"/>
      <c r="G26" s="7"/>
      <c r="H26" s="60"/>
      <c r="I26" s="74">
        <f t="shared" si="0"/>
        <v>0</v>
      </c>
    </row>
    <row r="27" spans="2:9" x14ac:dyDescent="0.4">
      <c r="B27" s="42"/>
      <c r="C27" s="9"/>
      <c r="D27" s="4" t="s">
        <v>54</v>
      </c>
      <c r="E27" s="4" t="s">
        <v>152</v>
      </c>
      <c r="F27" s="13"/>
      <c r="G27" s="7"/>
      <c r="H27" s="60"/>
      <c r="I27" s="74">
        <f t="shared" si="0"/>
        <v>0</v>
      </c>
    </row>
    <row r="28" spans="2:9" x14ac:dyDescent="0.4">
      <c r="B28" s="45" t="s">
        <v>208</v>
      </c>
      <c r="C28" s="36" t="s">
        <v>147</v>
      </c>
      <c r="D28" s="4" t="s">
        <v>212</v>
      </c>
      <c r="E28" s="4" t="s">
        <v>153</v>
      </c>
      <c r="F28" s="13"/>
      <c r="G28" s="7"/>
      <c r="H28" s="60"/>
      <c r="I28" s="74">
        <f t="shared" si="0"/>
        <v>0</v>
      </c>
    </row>
    <row r="29" spans="2:9" x14ac:dyDescent="0.4">
      <c r="B29" s="42"/>
      <c r="C29" s="9"/>
      <c r="D29" s="4" t="s">
        <v>43</v>
      </c>
      <c r="E29" s="4" t="s">
        <v>213</v>
      </c>
      <c r="F29" s="13"/>
      <c r="G29" s="7"/>
      <c r="H29" s="60"/>
      <c r="I29" s="74">
        <f t="shared" si="0"/>
        <v>0</v>
      </c>
    </row>
    <row r="30" spans="2:9" x14ac:dyDescent="0.4">
      <c r="B30" s="42"/>
      <c r="C30" s="9"/>
      <c r="D30" s="4" t="s">
        <v>44</v>
      </c>
      <c r="E30" s="4" t="s">
        <v>214</v>
      </c>
      <c r="F30" s="13"/>
      <c r="G30" s="7"/>
      <c r="H30" s="60"/>
      <c r="I30" s="74">
        <f t="shared" si="0"/>
        <v>0</v>
      </c>
    </row>
    <row r="31" spans="2:9" ht="31.2" x14ac:dyDescent="0.4">
      <c r="B31" s="45" t="s">
        <v>210</v>
      </c>
      <c r="C31" s="37" t="s">
        <v>209</v>
      </c>
      <c r="D31" s="4" t="s">
        <v>45</v>
      </c>
      <c r="E31" s="4" t="s">
        <v>111</v>
      </c>
      <c r="F31" s="13"/>
      <c r="G31" s="7"/>
      <c r="H31" s="60"/>
      <c r="I31" s="74">
        <f t="shared" si="0"/>
        <v>0</v>
      </c>
    </row>
    <row r="32" spans="2:9" x14ac:dyDescent="0.4">
      <c r="B32" s="42"/>
      <c r="C32" s="9"/>
      <c r="D32" s="4" t="s">
        <v>46</v>
      </c>
      <c r="E32" s="4" t="s">
        <v>32</v>
      </c>
      <c r="F32" s="13"/>
      <c r="G32" s="7"/>
      <c r="H32" s="60"/>
      <c r="I32" s="74">
        <f t="shared" si="0"/>
        <v>0</v>
      </c>
    </row>
    <row r="33" spans="2:9" x14ac:dyDescent="0.4">
      <c r="B33" s="54"/>
      <c r="C33" s="55"/>
      <c r="D33" s="4" t="s">
        <v>47</v>
      </c>
      <c r="E33" s="4" t="s">
        <v>31</v>
      </c>
      <c r="F33" s="13"/>
      <c r="G33" s="7"/>
      <c r="H33" s="60"/>
      <c r="I33" s="74">
        <f t="shared" si="0"/>
        <v>0</v>
      </c>
    </row>
    <row r="34" spans="2:9" ht="31.2" x14ac:dyDescent="0.4">
      <c r="B34" s="52" t="s">
        <v>190</v>
      </c>
      <c r="C34" s="19" t="s">
        <v>189</v>
      </c>
      <c r="D34" s="10" t="s">
        <v>112</v>
      </c>
      <c r="E34" s="53" t="s">
        <v>211</v>
      </c>
      <c r="F34" s="59"/>
      <c r="G34" s="60"/>
      <c r="H34" s="60"/>
      <c r="I34" s="74">
        <f t="shared" si="0"/>
        <v>0</v>
      </c>
    </row>
    <row r="35" spans="2:9" x14ac:dyDescent="0.4">
      <c r="B35" s="25"/>
      <c r="C35" s="19"/>
      <c r="D35" s="4" t="s">
        <v>113</v>
      </c>
      <c r="E35" s="32" t="s">
        <v>156</v>
      </c>
      <c r="F35" s="59"/>
      <c r="G35" s="60"/>
      <c r="H35" s="60"/>
      <c r="I35" s="74">
        <f t="shared" si="0"/>
        <v>0</v>
      </c>
    </row>
    <row r="36" spans="2:9" x14ac:dyDescent="0.4">
      <c r="B36" s="26"/>
      <c r="C36" s="10"/>
      <c r="D36" s="4" t="s">
        <v>114</v>
      </c>
      <c r="E36" s="32" t="s">
        <v>149</v>
      </c>
      <c r="F36" s="59"/>
      <c r="G36" s="60"/>
      <c r="H36" s="60"/>
      <c r="I36" s="74">
        <f t="shared" si="0"/>
        <v>0</v>
      </c>
    </row>
    <row r="37" spans="2:9" x14ac:dyDescent="0.4">
      <c r="B37" s="27" t="s">
        <v>192</v>
      </c>
      <c r="C37" s="19" t="s">
        <v>191</v>
      </c>
      <c r="D37" s="11" t="s">
        <v>123</v>
      </c>
      <c r="E37" s="9" t="s">
        <v>37</v>
      </c>
      <c r="F37" s="59"/>
      <c r="G37" s="60"/>
      <c r="H37" s="60"/>
      <c r="I37" s="74">
        <f t="shared" si="0"/>
        <v>0</v>
      </c>
    </row>
    <row r="38" spans="2:9" x14ac:dyDescent="0.4">
      <c r="B38" s="27"/>
      <c r="C38" s="19"/>
      <c r="D38" s="11" t="s">
        <v>119</v>
      </c>
      <c r="E38" s="33" t="s">
        <v>0</v>
      </c>
      <c r="F38" s="59"/>
      <c r="G38" s="60"/>
      <c r="H38" s="60"/>
      <c r="I38" s="74">
        <f t="shared" si="0"/>
        <v>0</v>
      </c>
    </row>
    <row r="39" spans="2:9" x14ac:dyDescent="0.4">
      <c r="B39" s="27"/>
      <c r="C39" s="19"/>
      <c r="D39" s="11" t="s">
        <v>120</v>
      </c>
      <c r="E39" s="34" t="s">
        <v>157</v>
      </c>
      <c r="F39" s="59"/>
      <c r="G39" s="60"/>
      <c r="H39" s="60"/>
      <c r="I39" s="74">
        <f t="shared" si="0"/>
        <v>0</v>
      </c>
    </row>
    <row r="40" spans="2:9" x14ac:dyDescent="0.4">
      <c r="B40" s="27"/>
      <c r="C40" s="17"/>
      <c r="D40" s="11" t="s">
        <v>124</v>
      </c>
      <c r="E40" s="33" t="s">
        <v>33</v>
      </c>
      <c r="F40" s="59"/>
      <c r="G40" s="60"/>
      <c r="H40" s="60"/>
      <c r="I40" s="74">
        <f t="shared" si="0"/>
        <v>0</v>
      </c>
    </row>
    <row r="41" spans="2:9" x14ac:dyDescent="0.4">
      <c r="B41" s="27"/>
      <c r="C41" s="19"/>
      <c r="D41" s="16" t="s">
        <v>125</v>
      </c>
      <c r="E41" s="34" t="s">
        <v>35</v>
      </c>
      <c r="F41" s="59"/>
      <c r="G41" s="60"/>
      <c r="H41" s="60"/>
      <c r="I41" s="74">
        <f t="shared" si="0"/>
        <v>0</v>
      </c>
    </row>
    <row r="42" spans="2:9" x14ac:dyDescent="0.4">
      <c r="B42" s="26"/>
      <c r="C42" s="38"/>
      <c r="D42" s="16" t="s">
        <v>173</v>
      </c>
      <c r="E42" s="32" t="s">
        <v>172</v>
      </c>
      <c r="F42" s="59"/>
      <c r="G42" s="60"/>
      <c r="H42" s="60"/>
      <c r="I42" s="74">
        <f t="shared" si="0"/>
        <v>0</v>
      </c>
    </row>
    <row r="43" spans="2:9" x14ac:dyDescent="0.4">
      <c r="B43" s="27" t="s">
        <v>194</v>
      </c>
      <c r="C43" s="39" t="s">
        <v>193</v>
      </c>
      <c r="D43" s="4" t="s">
        <v>126</v>
      </c>
      <c r="E43" s="32" t="s">
        <v>239</v>
      </c>
      <c r="F43" s="59"/>
      <c r="G43" s="60"/>
      <c r="H43" s="60"/>
      <c r="I43" s="74">
        <f t="shared" si="0"/>
        <v>0</v>
      </c>
    </row>
    <row r="44" spans="2:9" x14ac:dyDescent="0.4">
      <c r="B44" s="27"/>
      <c r="C44" s="17"/>
      <c r="D44" s="4" t="s">
        <v>55</v>
      </c>
      <c r="E44" s="9" t="s">
        <v>242</v>
      </c>
      <c r="F44" s="59"/>
      <c r="G44" s="60"/>
      <c r="H44" s="60"/>
      <c r="I44" s="74">
        <f t="shared" si="0"/>
        <v>0</v>
      </c>
    </row>
    <row r="45" spans="2:9" x14ac:dyDescent="0.4">
      <c r="B45" s="27"/>
      <c r="C45" s="17"/>
      <c r="D45" s="4" t="s">
        <v>56</v>
      </c>
      <c r="E45" s="33" t="s">
        <v>28</v>
      </c>
      <c r="F45" s="59"/>
      <c r="G45" s="60"/>
      <c r="H45" s="60"/>
      <c r="I45" s="74">
        <f t="shared" si="0"/>
        <v>0</v>
      </c>
    </row>
    <row r="46" spans="2:9" ht="31.2" x14ac:dyDescent="0.4">
      <c r="B46" s="26"/>
      <c r="C46" s="38"/>
      <c r="D46" s="4" t="s">
        <v>57</v>
      </c>
      <c r="E46" s="33" t="s">
        <v>115</v>
      </c>
      <c r="F46" s="59"/>
      <c r="G46" s="60"/>
      <c r="H46" s="60"/>
      <c r="I46" s="74">
        <f t="shared" si="0"/>
        <v>0</v>
      </c>
    </row>
    <row r="47" spans="2:9" x14ac:dyDescent="0.4">
      <c r="B47" s="27" t="s">
        <v>196</v>
      </c>
      <c r="C47" s="18" t="s">
        <v>195</v>
      </c>
      <c r="D47" s="3" t="s">
        <v>127</v>
      </c>
      <c r="E47" s="33" t="s">
        <v>175</v>
      </c>
      <c r="F47" s="59"/>
      <c r="G47" s="60"/>
      <c r="H47" s="60"/>
      <c r="I47" s="74">
        <f t="shared" si="0"/>
        <v>0</v>
      </c>
    </row>
    <row r="48" spans="2:9" x14ac:dyDescent="0.4">
      <c r="B48" s="27"/>
      <c r="C48" s="17"/>
      <c r="D48" s="3" t="s">
        <v>128</v>
      </c>
      <c r="E48" s="34" t="s">
        <v>174</v>
      </c>
      <c r="F48" s="59"/>
      <c r="G48" s="60"/>
      <c r="H48" s="60"/>
      <c r="I48" s="74">
        <f t="shared" si="0"/>
        <v>0</v>
      </c>
    </row>
    <row r="49" spans="2:9" x14ac:dyDescent="0.4">
      <c r="B49" s="27"/>
      <c r="C49" s="17"/>
      <c r="D49" s="3" t="s">
        <v>129</v>
      </c>
      <c r="E49" s="34" t="s">
        <v>177</v>
      </c>
      <c r="F49" s="59"/>
      <c r="G49" s="60"/>
      <c r="H49" s="60"/>
      <c r="I49" s="74">
        <f t="shared" si="0"/>
        <v>0</v>
      </c>
    </row>
    <row r="50" spans="2:9" x14ac:dyDescent="0.4">
      <c r="B50" s="27"/>
      <c r="C50" s="17"/>
      <c r="D50" s="3" t="s">
        <v>130</v>
      </c>
      <c r="E50" s="34" t="s">
        <v>178</v>
      </c>
      <c r="F50" s="59"/>
      <c r="G50" s="60"/>
      <c r="H50" s="60"/>
      <c r="I50" s="74">
        <f t="shared" ref="I50:I81" si="1">COUNTA(F50:H50)</f>
        <v>0</v>
      </c>
    </row>
    <row r="51" spans="2:9" x14ac:dyDescent="0.4">
      <c r="B51" s="27"/>
      <c r="C51" s="17"/>
      <c r="D51" s="3" t="s">
        <v>131</v>
      </c>
      <c r="E51" s="33" t="s">
        <v>1</v>
      </c>
      <c r="F51" s="59"/>
      <c r="G51" s="60"/>
      <c r="H51" s="60"/>
      <c r="I51" s="74">
        <f t="shared" si="1"/>
        <v>0</v>
      </c>
    </row>
    <row r="52" spans="2:9" x14ac:dyDescent="0.4">
      <c r="B52" s="27"/>
      <c r="C52" s="17"/>
      <c r="D52" s="3" t="s">
        <v>132</v>
      </c>
      <c r="E52" s="33" t="s">
        <v>168</v>
      </c>
      <c r="F52" s="59"/>
      <c r="G52" s="60"/>
      <c r="H52" s="60"/>
      <c r="I52" s="74">
        <f t="shared" si="1"/>
        <v>0</v>
      </c>
    </row>
    <row r="53" spans="2:9" x14ac:dyDescent="0.4">
      <c r="B53" s="27"/>
      <c r="C53" s="17"/>
      <c r="D53" s="3" t="s">
        <v>176</v>
      </c>
      <c r="E53" s="34" t="s">
        <v>244</v>
      </c>
      <c r="F53" s="59"/>
      <c r="G53" s="60"/>
      <c r="H53" s="60"/>
      <c r="I53" s="74">
        <f t="shared" si="1"/>
        <v>0</v>
      </c>
    </row>
    <row r="54" spans="2:9" ht="312" x14ac:dyDescent="0.4">
      <c r="B54" s="24" t="s">
        <v>230</v>
      </c>
      <c r="C54" s="20" t="s">
        <v>197</v>
      </c>
      <c r="D54" s="3" t="s">
        <v>133</v>
      </c>
      <c r="E54" s="33" t="s">
        <v>219</v>
      </c>
      <c r="F54" s="109" t="s">
        <v>270</v>
      </c>
      <c r="G54" s="60"/>
      <c r="H54" s="60"/>
      <c r="I54" s="74">
        <f t="shared" si="1"/>
        <v>1</v>
      </c>
    </row>
    <row r="55" spans="2:9" x14ac:dyDescent="0.4">
      <c r="B55" s="27"/>
      <c r="C55" s="17"/>
      <c r="D55" s="3" t="s">
        <v>58</v>
      </c>
      <c r="E55" s="33" t="s">
        <v>216</v>
      </c>
      <c r="F55" s="59"/>
      <c r="G55" s="60"/>
      <c r="H55" s="60"/>
      <c r="I55" s="74">
        <f t="shared" si="1"/>
        <v>0</v>
      </c>
    </row>
    <row r="56" spans="2:9" ht="234" x14ac:dyDescent="0.4">
      <c r="B56" s="27"/>
      <c r="C56" s="17"/>
      <c r="D56" s="3" t="s">
        <v>59</v>
      </c>
      <c r="E56" s="33" t="s">
        <v>4</v>
      </c>
      <c r="F56" s="110" t="s">
        <v>271</v>
      </c>
      <c r="G56" s="60"/>
      <c r="H56" s="60"/>
      <c r="I56" s="74">
        <f t="shared" si="1"/>
        <v>1</v>
      </c>
    </row>
    <row r="57" spans="2:9" x14ac:dyDescent="0.4">
      <c r="B57" s="27"/>
      <c r="C57" s="17"/>
      <c r="D57" s="3" t="s">
        <v>60</v>
      </c>
      <c r="E57" s="33" t="s">
        <v>179</v>
      </c>
      <c r="F57" s="59"/>
      <c r="G57" s="60"/>
      <c r="H57" s="60"/>
      <c r="I57" s="74">
        <f t="shared" si="1"/>
        <v>0</v>
      </c>
    </row>
    <row r="58" spans="2:9" x14ac:dyDescent="0.4">
      <c r="B58" s="27"/>
      <c r="C58" s="17"/>
      <c r="D58" s="3" t="s">
        <v>61</v>
      </c>
      <c r="E58" s="33" t="s">
        <v>217</v>
      </c>
      <c r="F58" s="59"/>
      <c r="G58" s="60"/>
      <c r="H58" s="60"/>
      <c r="I58" s="74">
        <f t="shared" si="1"/>
        <v>0</v>
      </c>
    </row>
    <row r="59" spans="2:9" x14ac:dyDescent="0.4">
      <c r="B59" s="27"/>
      <c r="C59" s="38"/>
      <c r="D59" s="3" t="s">
        <v>166</v>
      </c>
      <c r="E59" s="33" t="s">
        <v>3</v>
      </c>
      <c r="F59" s="59"/>
      <c r="G59" s="60"/>
      <c r="H59" s="60"/>
      <c r="I59" s="74">
        <f t="shared" si="1"/>
        <v>0</v>
      </c>
    </row>
    <row r="60" spans="2:9" x14ac:dyDescent="0.4">
      <c r="B60" s="28" t="s">
        <v>231</v>
      </c>
      <c r="C60" s="18" t="s">
        <v>198</v>
      </c>
      <c r="D60" s="2" t="s">
        <v>62</v>
      </c>
      <c r="E60" s="34" t="s">
        <v>29</v>
      </c>
      <c r="F60" s="59"/>
      <c r="G60" s="60"/>
      <c r="H60" s="60"/>
      <c r="I60" s="74">
        <f t="shared" si="1"/>
        <v>0</v>
      </c>
    </row>
    <row r="61" spans="2:9" x14ac:dyDescent="0.4">
      <c r="B61" s="27"/>
      <c r="C61" s="17"/>
      <c r="D61" s="2" t="s">
        <v>63</v>
      </c>
      <c r="E61" s="33" t="s">
        <v>218</v>
      </c>
      <c r="F61" s="59"/>
      <c r="G61" s="60"/>
      <c r="H61" s="60"/>
      <c r="I61" s="74">
        <f t="shared" si="1"/>
        <v>0</v>
      </c>
    </row>
    <row r="62" spans="2:9" x14ac:dyDescent="0.4">
      <c r="B62" s="27"/>
      <c r="C62" s="17"/>
      <c r="D62" s="2" t="s">
        <v>64</v>
      </c>
      <c r="E62" s="33" t="s">
        <v>245</v>
      </c>
      <c r="F62" s="59"/>
      <c r="G62" s="60"/>
      <c r="H62" s="60"/>
      <c r="I62" s="74">
        <f t="shared" si="1"/>
        <v>0</v>
      </c>
    </row>
    <row r="63" spans="2:9" x14ac:dyDescent="0.4">
      <c r="B63" s="27"/>
      <c r="C63" s="17"/>
      <c r="D63" s="2" t="s">
        <v>65</v>
      </c>
      <c r="E63" s="34" t="s">
        <v>14</v>
      </c>
      <c r="F63" s="59"/>
      <c r="G63" s="60"/>
      <c r="H63" s="60"/>
      <c r="I63" s="74">
        <f t="shared" si="1"/>
        <v>0</v>
      </c>
    </row>
    <row r="64" spans="2:9" x14ac:dyDescent="0.4">
      <c r="B64" s="27"/>
      <c r="C64" s="17"/>
      <c r="D64" s="2" t="s">
        <v>66</v>
      </c>
      <c r="E64" s="34" t="s">
        <v>13</v>
      </c>
      <c r="F64" s="59"/>
      <c r="G64" s="60"/>
      <c r="H64" s="60"/>
      <c r="I64" s="74">
        <f t="shared" si="1"/>
        <v>0</v>
      </c>
    </row>
    <row r="65" spans="2:9" x14ac:dyDescent="0.4">
      <c r="B65" s="27"/>
      <c r="C65" s="17"/>
      <c r="D65" s="2" t="s">
        <v>67</v>
      </c>
      <c r="E65" s="33" t="s">
        <v>48</v>
      </c>
      <c r="F65" s="59"/>
      <c r="G65" s="60"/>
      <c r="H65" s="60"/>
      <c r="I65" s="74">
        <f t="shared" si="1"/>
        <v>0</v>
      </c>
    </row>
    <row r="66" spans="2:9" x14ac:dyDescent="0.4">
      <c r="B66" s="27"/>
      <c r="C66" s="17"/>
      <c r="D66" s="2" t="s">
        <v>68</v>
      </c>
      <c r="E66" s="33" t="s">
        <v>25</v>
      </c>
      <c r="F66" s="59"/>
      <c r="G66" s="60"/>
      <c r="H66" s="60"/>
      <c r="I66" s="74">
        <f t="shared" si="1"/>
        <v>0</v>
      </c>
    </row>
    <row r="67" spans="2:9" x14ac:dyDescent="0.4">
      <c r="B67" s="24" t="s">
        <v>232</v>
      </c>
      <c r="C67" s="18" t="s">
        <v>199</v>
      </c>
      <c r="D67" s="3" t="s">
        <v>134</v>
      </c>
      <c r="E67" s="33" t="s">
        <v>171</v>
      </c>
      <c r="F67" s="59"/>
      <c r="G67" s="60"/>
      <c r="H67" s="60"/>
      <c r="I67" s="74">
        <f t="shared" si="1"/>
        <v>0</v>
      </c>
    </row>
    <row r="68" spans="2:9" x14ac:dyDescent="0.4">
      <c r="B68" s="27"/>
      <c r="C68" s="38"/>
      <c r="D68" s="3" t="s">
        <v>69</v>
      </c>
      <c r="E68" s="34" t="s">
        <v>20</v>
      </c>
      <c r="F68" s="59"/>
      <c r="G68" s="60"/>
      <c r="H68" s="60"/>
      <c r="I68" s="74">
        <f t="shared" si="1"/>
        <v>0</v>
      </c>
    </row>
    <row r="69" spans="2:9" ht="31.2" x14ac:dyDescent="0.4">
      <c r="B69" s="24" t="s">
        <v>233</v>
      </c>
      <c r="C69" s="18" t="s">
        <v>200</v>
      </c>
      <c r="D69" s="2" t="s">
        <v>135</v>
      </c>
      <c r="E69" s="34" t="s">
        <v>150</v>
      </c>
      <c r="F69" s="59"/>
      <c r="G69" s="60"/>
      <c r="H69" s="60"/>
      <c r="I69" s="74">
        <f t="shared" si="1"/>
        <v>0</v>
      </c>
    </row>
    <row r="70" spans="2:9" x14ac:dyDescent="0.4">
      <c r="B70" s="27"/>
      <c r="C70" s="19"/>
      <c r="D70" s="2" t="s">
        <v>70</v>
      </c>
      <c r="E70" s="32" t="s">
        <v>151</v>
      </c>
      <c r="F70" s="59"/>
      <c r="G70" s="60"/>
      <c r="H70" s="60"/>
      <c r="I70" s="74">
        <f t="shared" si="1"/>
        <v>0</v>
      </c>
    </row>
    <row r="71" spans="2:9" x14ac:dyDescent="0.4">
      <c r="B71" s="27"/>
      <c r="C71" s="17"/>
      <c r="D71" s="2" t="s">
        <v>71</v>
      </c>
      <c r="E71" s="33" t="s">
        <v>220</v>
      </c>
      <c r="F71" s="59"/>
      <c r="G71" s="60"/>
      <c r="H71" s="60"/>
      <c r="I71" s="74">
        <f t="shared" si="1"/>
        <v>0</v>
      </c>
    </row>
    <row r="72" spans="2:9" x14ac:dyDescent="0.4">
      <c r="B72" s="27"/>
      <c r="C72" s="17"/>
      <c r="D72" s="2" t="s">
        <v>72</v>
      </c>
      <c r="E72" s="33" t="s">
        <v>116</v>
      </c>
      <c r="F72" s="59"/>
      <c r="G72" s="60"/>
      <c r="H72" s="60"/>
      <c r="I72" s="74">
        <f t="shared" si="1"/>
        <v>0</v>
      </c>
    </row>
    <row r="73" spans="2:9" x14ac:dyDescent="0.4">
      <c r="B73" s="27"/>
      <c r="C73" s="17"/>
      <c r="D73" s="2" t="s">
        <v>73</v>
      </c>
      <c r="E73" s="33" t="s">
        <v>221</v>
      </c>
      <c r="F73" s="59"/>
      <c r="G73" s="60"/>
      <c r="H73" s="60"/>
      <c r="I73" s="74">
        <f t="shared" si="1"/>
        <v>0</v>
      </c>
    </row>
    <row r="74" spans="2:9" x14ac:dyDescent="0.4">
      <c r="B74" s="27"/>
      <c r="C74" s="17"/>
      <c r="D74" s="2" t="s">
        <v>74</v>
      </c>
      <c r="E74" s="33" t="s">
        <v>2</v>
      </c>
      <c r="F74" s="59"/>
      <c r="G74" s="60"/>
      <c r="H74" s="60"/>
      <c r="I74" s="74">
        <f t="shared" si="1"/>
        <v>0</v>
      </c>
    </row>
    <row r="75" spans="2:9" ht="31.2" x14ac:dyDescent="0.4">
      <c r="B75" s="24" t="s">
        <v>234</v>
      </c>
      <c r="C75" s="20" t="s">
        <v>201</v>
      </c>
      <c r="D75" s="3" t="s">
        <v>75</v>
      </c>
      <c r="E75" s="33" t="s">
        <v>8</v>
      </c>
      <c r="F75" s="59"/>
      <c r="G75" s="60"/>
      <c r="H75" s="60"/>
      <c r="I75" s="74">
        <f t="shared" si="1"/>
        <v>0</v>
      </c>
    </row>
    <row r="76" spans="2:9" x14ac:dyDescent="0.4">
      <c r="B76" s="27"/>
      <c r="C76" s="17"/>
      <c r="D76" s="3" t="s">
        <v>76</v>
      </c>
      <c r="E76" s="33" t="s">
        <v>117</v>
      </c>
      <c r="F76" s="59"/>
      <c r="G76" s="60"/>
      <c r="H76" s="60"/>
      <c r="I76" s="74">
        <f t="shared" si="1"/>
        <v>0</v>
      </c>
    </row>
    <row r="77" spans="2:9" ht="140.4" x14ac:dyDescent="0.4">
      <c r="B77" s="27"/>
      <c r="C77" s="17"/>
      <c r="D77" s="3" t="s">
        <v>77</v>
      </c>
      <c r="E77" s="33" t="s">
        <v>118</v>
      </c>
      <c r="F77" s="111" t="s">
        <v>272</v>
      </c>
      <c r="G77" s="60"/>
      <c r="H77" s="60"/>
      <c r="I77" s="74">
        <f t="shared" si="1"/>
        <v>1</v>
      </c>
    </row>
    <row r="78" spans="2:9" x14ac:dyDescent="0.4">
      <c r="B78" s="27"/>
      <c r="C78" s="17"/>
      <c r="D78" s="3" t="s">
        <v>78</v>
      </c>
      <c r="E78" s="34" t="s">
        <v>161</v>
      </c>
      <c r="F78" s="59"/>
      <c r="G78" s="60"/>
      <c r="H78" s="60"/>
      <c r="I78" s="74">
        <f t="shared" si="1"/>
        <v>0</v>
      </c>
    </row>
    <row r="79" spans="2:9" x14ac:dyDescent="0.4">
      <c r="B79" s="27"/>
      <c r="C79" s="17"/>
      <c r="D79" s="3" t="s">
        <v>79</v>
      </c>
      <c r="E79" s="34" t="s">
        <v>162</v>
      </c>
      <c r="F79" s="59"/>
      <c r="G79" s="60"/>
      <c r="H79" s="60"/>
      <c r="I79" s="74">
        <f t="shared" si="1"/>
        <v>0</v>
      </c>
    </row>
    <row r="80" spans="2:9" x14ac:dyDescent="0.4">
      <c r="B80" s="27"/>
      <c r="C80" s="17"/>
      <c r="D80" s="3" t="s">
        <v>80</v>
      </c>
      <c r="E80" s="34" t="s">
        <v>30</v>
      </c>
      <c r="F80" s="59"/>
      <c r="G80" s="60"/>
      <c r="H80" s="60"/>
      <c r="I80" s="74">
        <f t="shared" si="1"/>
        <v>0</v>
      </c>
    </row>
    <row r="81" spans="2:9" x14ac:dyDescent="0.4">
      <c r="B81" s="27"/>
      <c r="C81" s="38"/>
      <c r="D81" s="3" t="s">
        <v>81</v>
      </c>
      <c r="E81" s="34" t="s">
        <v>12</v>
      </c>
      <c r="F81" s="59"/>
      <c r="G81" s="60"/>
      <c r="H81" s="60"/>
      <c r="I81" s="74">
        <f t="shared" si="1"/>
        <v>0</v>
      </c>
    </row>
    <row r="82" spans="2:9" ht="296.39999999999998" x14ac:dyDescent="0.4">
      <c r="B82" s="24" t="s">
        <v>235</v>
      </c>
      <c r="C82" s="17" t="s">
        <v>202</v>
      </c>
      <c r="D82" s="2" t="s">
        <v>137</v>
      </c>
      <c r="E82" s="34" t="s">
        <v>222</v>
      </c>
      <c r="F82" s="110" t="s">
        <v>273</v>
      </c>
      <c r="G82" s="60"/>
      <c r="H82" s="60"/>
      <c r="I82" s="74">
        <f t="shared" ref="I82:I113" si="2">COUNTA(F82:H82)</f>
        <v>1</v>
      </c>
    </row>
    <row r="83" spans="2:9" x14ac:dyDescent="0.4">
      <c r="B83" s="27"/>
      <c r="C83" s="17"/>
      <c r="D83" s="2" t="s">
        <v>82</v>
      </c>
      <c r="E83" s="33" t="s">
        <v>9</v>
      </c>
      <c r="F83" s="59"/>
      <c r="G83" s="60"/>
      <c r="H83" s="60"/>
      <c r="I83" s="74">
        <f t="shared" si="2"/>
        <v>0</v>
      </c>
    </row>
    <row r="84" spans="2:9" x14ac:dyDescent="0.4">
      <c r="B84" s="27"/>
      <c r="C84" s="17"/>
      <c r="D84" s="2" t="s">
        <v>83</v>
      </c>
      <c r="E84" s="33" t="s">
        <v>39</v>
      </c>
      <c r="F84" s="59"/>
      <c r="G84" s="60"/>
      <c r="H84" s="60"/>
      <c r="I84" s="74">
        <f t="shared" si="2"/>
        <v>0</v>
      </c>
    </row>
    <row r="85" spans="2:9" x14ac:dyDescent="0.4">
      <c r="B85" s="27"/>
      <c r="C85" s="17"/>
      <c r="D85" s="2" t="s">
        <v>84</v>
      </c>
      <c r="E85" s="33" t="s">
        <v>10</v>
      </c>
      <c r="F85" s="59"/>
      <c r="G85" s="60"/>
      <c r="H85" s="60"/>
      <c r="I85" s="74">
        <f t="shared" si="2"/>
        <v>0</v>
      </c>
    </row>
    <row r="86" spans="2:9" x14ac:dyDescent="0.4">
      <c r="B86" s="27"/>
      <c r="C86" s="17"/>
      <c r="D86" s="2" t="s">
        <v>85</v>
      </c>
      <c r="E86" s="33" t="s">
        <v>11</v>
      </c>
      <c r="F86" s="59"/>
      <c r="G86" s="60"/>
      <c r="H86" s="60"/>
      <c r="I86" s="74">
        <f t="shared" si="2"/>
        <v>0</v>
      </c>
    </row>
    <row r="87" spans="2:9" ht="124.8" x14ac:dyDescent="0.4">
      <c r="B87" s="27"/>
      <c r="C87" s="17"/>
      <c r="D87" s="2" t="s">
        <v>86</v>
      </c>
      <c r="E87" s="34" t="s">
        <v>223</v>
      </c>
      <c r="F87" s="111" t="s">
        <v>274</v>
      </c>
      <c r="G87" s="60"/>
      <c r="H87" s="60"/>
      <c r="I87" s="74">
        <f t="shared" si="2"/>
        <v>1</v>
      </c>
    </row>
    <row r="88" spans="2:9" x14ac:dyDescent="0.4">
      <c r="B88" s="27"/>
      <c r="C88" s="17"/>
      <c r="D88" s="2" t="s">
        <v>87</v>
      </c>
      <c r="E88" s="33" t="s">
        <v>240</v>
      </c>
      <c r="F88" s="59"/>
      <c r="G88" s="60"/>
      <c r="H88" s="60"/>
      <c r="I88" s="74">
        <f t="shared" si="2"/>
        <v>0</v>
      </c>
    </row>
    <row r="89" spans="2:9" ht="218.4" x14ac:dyDescent="0.4">
      <c r="B89" s="27"/>
      <c r="C89" s="17"/>
      <c r="D89" s="2" t="s">
        <v>88</v>
      </c>
      <c r="E89" s="33" t="s">
        <v>6</v>
      </c>
      <c r="F89" s="110" t="s">
        <v>275</v>
      </c>
      <c r="G89" s="60"/>
      <c r="H89" s="60"/>
      <c r="I89" s="74">
        <f t="shared" si="2"/>
        <v>1</v>
      </c>
    </row>
    <row r="90" spans="2:9" x14ac:dyDescent="0.4">
      <c r="B90" s="26"/>
      <c r="C90" s="38"/>
      <c r="D90" s="2" t="s">
        <v>89</v>
      </c>
      <c r="E90" s="33" t="s">
        <v>5</v>
      </c>
      <c r="F90" s="59"/>
      <c r="G90" s="60"/>
      <c r="H90" s="60"/>
      <c r="I90" s="74">
        <f t="shared" si="2"/>
        <v>0</v>
      </c>
    </row>
    <row r="91" spans="2:9" ht="31.2" x14ac:dyDescent="0.4">
      <c r="B91" s="27" t="s">
        <v>236</v>
      </c>
      <c r="C91" s="17" t="s">
        <v>203</v>
      </c>
      <c r="D91" s="2" t="s">
        <v>138</v>
      </c>
      <c r="E91" s="34" t="s">
        <v>36</v>
      </c>
      <c r="F91" s="59"/>
      <c r="G91" s="60"/>
      <c r="H91" s="60"/>
      <c r="I91" s="74">
        <f t="shared" si="2"/>
        <v>0</v>
      </c>
    </row>
    <row r="92" spans="2:9" x14ac:dyDescent="0.4">
      <c r="B92" s="27"/>
      <c r="C92" s="17"/>
      <c r="D92" s="2" t="s">
        <v>90</v>
      </c>
      <c r="E92" s="33" t="s">
        <v>224</v>
      </c>
      <c r="F92" s="59"/>
      <c r="G92" s="60"/>
      <c r="H92" s="60"/>
      <c r="I92" s="74">
        <f t="shared" si="2"/>
        <v>0</v>
      </c>
    </row>
    <row r="93" spans="2:9" x14ac:dyDescent="0.4">
      <c r="B93" s="27"/>
      <c r="C93" s="17"/>
      <c r="D93" s="2" t="s">
        <v>91</v>
      </c>
      <c r="E93" s="34" t="s">
        <v>165</v>
      </c>
      <c r="F93" s="59"/>
      <c r="G93" s="60"/>
      <c r="H93" s="60"/>
      <c r="I93" s="74">
        <f t="shared" si="2"/>
        <v>0</v>
      </c>
    </row>
    <row r="94" spans="2:9" x14ac:dyDescent="0.4">
      <c r="B94" s="27"/>
      <c r="C94" s="17"/>
      <c r="D94" s="2" t="s">
        <v>92</v>
      </c>
      <c r="E94" s="33" t="s">
        <v>169</v>
      </c>
      <c r="F94" s="59"/>
      <c r="G94" s="60"/>
      <c r="H94" s="60"/>
      <c r="I94" s="74">
        <f t="shared" si="2"/>
        <v>0</v>
      </c>
    </row>
    <row r="95" spans="2:9" x14ac:dyDescent="0.4">
      <c r="B95" s="27"/>
      <c r="C95" s="17"/>
      <c r="D95" s="2" t="s">
        <v>93</v>
      </c>
      <c r="E95" s="34" t="s">
        <v>170</v>
      </c>
      <c r="F95" s="59"/>
      <c r="G95" s="60"/>
      <c r="H95" s="60"/>
      <c r="I95" s="74">
        <f t="shared" si="2"/>
        <v>0</v>
      </c>
    </row>
    <row r="96" spans="2:9" x14ac:dyDescent="0.4">
      <c r="B96" s="28" t="s">
        <v>237</v>
      </c>
      <c r="C96" s="20" t="s">
        <v>204</v>
      </c>
      <c r="D96" s="16" t="s">
        <v>139</v>
      </c>
      <c r="E96" s="62" t="s">
        <v>163</v>
      </c>
      <c r="F96" s="59"/>
      <c r="G96" s="60"/>
      <c r="H96" s="60"/>
      <c r="I96" s="74">
        <f t="shared" si="2"/>
        <v>0</v>
      </c>
    </row>
    <row r="97" spans="2:9" x14ac:dyDescent="0.4">
      <c r="B97" s="26"/>
      <c r="C97" s="63"/>
      <c r="D97" s="64" t="s">
        <v>136</v>
      </c>
      <c r="E97" s="65" t="s">
        <v>164</v>
      </c>
      <c r="F97" s="59"/>
      <c r="G97" s="60"/>
      <c r="H97" s="60"/>
      <c r="I97" s="74">
        <f t="shared" si="2"/>
        <v>0</v>
      </c>
    </row>
    <row r="98" spans="2:9" ht="31.2" x14ac:dyDescent="0.4">
      <c r="B98" s="61" t="s">
        <v>181</v>
      </c>
      <c r="C98" s="22" t="s">
        <v>180</v>
      </c>
      <c r="D98" s="10" t="s">
        <v>141</v>
      </c>
      <c r="E98" s="53" t="s">
        <v>19</v>
      </c>
      <c r="F98" s="59"/>
      <c r="G98" s="60"/>
      <c r="H98" s="60"/>
      <c r="I98" s="74">
        <f t="shared" si="2"/>
        <v>0</v>
      </c>
    </row>
    <row r="99" spans="2:9" x14ac:dyDescent="0.4">
      <c r="B99" s="46"/>
      <c r="C99" s="22"/>
      <c r="D99" s="4" t="s">
        <v>94</v>
      </c>
      <c r="E99" s="32" t="s">
        <v>27</v>
      </c>
      <c r="F99" s="59"/>
      <c r="G99" s="60"/>
      <c r="H99" s="60"/>
      <c r="I99" s="74">
        <f t="shared" si="2"/>
        <v>0</v>
      </c>
    </row>
    <row r="100" spans="2:9" x14ac:dyDescent="0.4">
      <c r="B100" s="46"/>
      <c r="C100" s="22"/>
      <c r="D100" s="4" t="s">
        <v>95</v>
      </c>
      <c r="E100" s="32" t="s">
        <v>155</v>
      </c>
      <c r="F100" s="59"/>
      <c r="G100" s="60"/>
      <c r="H100" s="60"/>
      <c r="I100" s="74">
        <f t="shared" si="2"/>
        <v>0</v>
      </c>
    </row>
    <row r="101" spans="2:9" ht="31.2" x14ac:dyDescent="0.4">
      <c r="B101" s="46"/>
      <c r="C101" s="22"/>
      <c r="D101" s="4" t="s">
        <v>96</v>
      </c>
      <c r="E101" s="32" t="s">
        <v>154</v>
      </c>
      <c r="F101" s="59"/>
      <c r="G101" s="60"/>
      <c r="H101" s="60"/>
      <c r="I101" s="74">
        <f t="shared" si="2"/>
        <v>0</v>
      </c>
    </row>
    <row r="102" spans="2:9" x14ac:dyDescent="0.4">
      <c r="B102" s="46"/>
      <c r="C102" s="22"/>
      <c r="D102" s="4" t="s">
        <v>97</v>
      </c>
      <c r="E102" s="32" t="s">
        <v>15</v>
      </c>
      <c r="F102" s="59"/>
      <c r="G102" s="60"/>
      <c r="H102" s="60"/>
      <c r="I102" s="74">
        <f t="shared" si="2"/>
        <v>0</v>
      </c>
    </row>
    <row r="103" spans="2:9" x14ac:dyDescent="0.4">
      <c r="B103" s="46"/>
      <c r="C103" s="22"/>
      <c r="D103" s="4" t="s">
        <v>160</v>
      </c>
      <c r="E103" s="32" t="s">
        <v>34</v>
      </c>
      <c r="F103" s="59"/>
      <c r="G103" s="60"/>
      <c r="H103" s="60"/>
      <c r="I103" s="74">
        <f t="shared" si="2"/>
        <v>0</v>
      </c>
    </row>
    <row r="104" spans="2:9" ht="31.2" x14ac:dyDescent="0.4">
      <c r="B104" s="46"/>
      <c r="C104" s="21"/>
      <c r="D104" s="4" t="s">
        <v>159</v>
      </c>
      <c r="E104" s="32" t="s">
        <v>22</v>
      </c>
      <c r="F104" s="59"/>
      <c r="G104" s="60"/>
      <c r="H104" s="60"/>
      <c r="I104" s="74">
        <f t="shared" si="2"/>
        <v>0</v>
      </c>
    </row>
    <row r="105" spans="2:9" ht="46.8" x14ac:dyDescent="0.4">
      <c r="B105" s="47" t="s">
        <v>186</v>
      </c>
      <c r="C105" s="41" t="s">
        <v>185</v>
      </c>
      <c r="D105" s="6" t="s">
        <v>142</v>
      </c>
      <c r="E105" s="56" t="s">
        <v>38</v>
      </c>
      <c r="F105" s="59"/>
      <c r="G105" s="60"/>
      <c r="H105" s="60"/>
      <c r="I105" s="74">
        <f t="shared" si="2"/>
        <v>0</v>
      </c>
    </row>
    <row r="106" spans="2:9" x14ac:dyDescent="0.4">
      <c r="B106" s="48"/>
      <c r="C106" s="22"/>
      <c r="D106" s="6" t="s">
        <v>98</v>
      </c>
      <c r="E106" s="32" t="s">
        <v>24</v>
      </c>
      <c r="F106" s="59"/>
      <c r="G106" s="60"/>
      <c r="H106" s="60"/>
      <c r="I106" s="74">
        <f t="shared" si="2"/>
        <v>0</v>
      </c>
    </row>
    <row r="107" spans="2:9" ht="31.2" x14ac:dyDescent="0.4">
      <c r="B107" s="46"/>
      <c r="C107" s="22"/>
      <c r="D107" s="6" t="s">
        <v>99</v>
      </c>
      <c r="E107" s="32" t="s">
        <v>238</v>
      </c>
      <c r="F107" s="59"/>
      <c r="G107" s="60"/>
      <c r="H107" s="60"/>
      <c r="I107" s="74">
        <f t="shared" si="2"/>
        <v>0</v>
      </c>
    </row>
    <row r="108" spans="2:9" x14ac:dyDescent="0.4">
      <c r="B108" s="46"/>
      <c r="C108" s="22"/>
      <c r="D108" s="6" t="s">
        <v>100</v>
      </c>
      <c r="E108" s="32" t="s">
        <v>225</v>
      </c>
      <c r="F108" s="59"/>
      <c r="G108" s="60"/>
      <c r="H108" s="60"/>
      <c r="I108" s="74">
        <f t="shared" si="2"/>
        <v>0</v>
      </c>
    </row>
    <row r="109" spans="2:9" x14ac:dyDescent="0.4">
      <c r="B109" s="49"/>
      <c r="C109" s="23"/>
      <c r="D109" s="6" t="s">
        <v>167</v>
      </c>
      <c r="E109" s="32" t="s">
        <v>16</v>
      </c>
      <c r="F109" s="59"/>
      <c r="G109" s="60"/>
      <c r="H109" s="60"/>
      <c r="I109" s="74">
        <f t="shared" si="2"/>
        <v>0</v>
      </c>
    </row>
    <row r="110" spans="2:9" ht="31.2" x14ac:dyDescent="0.4">
      <c r="B110" s="48" t="s">
        <v>188</v>
      </c>
      <c r="C110" s="22" t="s">
        <v>187</v>
      </c>
      <c r="D110" s="4" t="s">
        <v>143</v>
      </c>
      <c r="E110" s="32" t="s">
        <v>23</v>
      </c>
      <c r="F110" s="59"/>
      <c r="G110" s="60"/>
      <c r="H110" s="60"/>
      <c r="I110" s="74">
        <f t="shared" si="2"/>
        <v>0</v>
      </c>
    </row>
    <row r="111" spans="2:9" x14ac:dyDescent="0.4">
      <c r="B111" s="46"/>
      <c r="C111" s="22"/>
      <c r="D111" s="4" t="s">
        <v>101</v>
      </c>
      <c r="E111" s="57" t="s">
        <v>26</v>
      </c>
      <c r="F111" s="59"/>
      <c r="G111" s="60"/>
      <c r="H111" s="60"/>
      <c r="I111" s="74">
        <f t="shared" si="2"/>
        <v>0</v>
      </c>
    </row>
    <row r="112" spans="2:9" ht="31.2" x14ac:dyDescent="0.4">
      <c r="B112" s="46"/>
      <c r="C112" s="22"/>
      <c r="D112" s="4" t="s">
        <v>102</v>
      </c>
      <c r="E112" s="32" t="s">
        <v>18</v>
      </c>
      <c r="F112" s="59"/>
      <c r="G112" s="60"/>
      <c r="H112" s="60"/>
      <c r="I112" s="74">
        <f t="shared" si="2"/>
        <v>0</v>
      </c>
    </row>
    <row r="113" spans="2:9" x14ac:dyDescent="0.4">
      <c r="B113" s="46"/>
      <c r="C113" s="22"/>
      <c r="D113" s="4" t="s">
        <v>103</v>
      </c>
      <c r="E113" s="32" t="s">
        <v>226</v>
      </c>
      <c r="F113" s="59"/>
      <c r="G113" s="60"/>
      <c r="H113" s="60"/>
      <c r="I113" s="74">
        <f t="shared" si="2"/>
        <v>0</v>
      </c>
    </row>
    <row r="114" spans="2:9" ht="31.2" x14ac:dyDescent="0.4">
      <c r="B114" s="50" t="s">
        <v>184</v>
      </c>
      <c r="C114" s="40" t="s">
        <v>183</v>
      </c>
      <c r="D114" s="4" t="s">
        <v>144</v>
      </c>
      <c r="E114" s="32" t="s">
        <v>17</v>
      </c>
      <c r="F114" s="59"/>
      <c r="G114" s="60"/>
      <c r="H114" s="60"/>
      <c r="I114" s="74">
        <f t="shared" ref="I114:I119" si="3">COUNTA(F114:H114)</f>
        <v>0</v>
      </c>
    </row>
    <row r="115" spans="2:9" x14ac:dyDescent="0.4">
      <c r="B115" s="48"/>
      <c r="C115" s="22"/>
      <c r="D115" s="4" t="s">
        <v>104</v>
      </c>
      <c r="E115" s="32" t="s">
        <v>227</v>
      </c>
      <c r="F115" s="59"/>
      <c r="G115" s="60"/>
      <c r="H115" s="60"/>
      <c r="I115" s="74">
        <f t="shared" si="3"/>
        <v>0</v>
      </c>
    </row>
    <row r="116" spans="2:9" x14ac:dyDescent="0.4">
      <c r="B116" s="51"/>
      <c r="C116" s="23"/>
      <c r="D116" s="4" t="s">
        <v>105</v>
      </c>
      <c r="E116" s="32" t="s">
        <v>21</v>
      </c>
      <c r="F116" s="59"/>
      <c r="G116" s="60"/>
      <c r="H116" s="60"/>
      <c r="I116" s="74">
        <f t="shared" si="3"/>
        <v>0</v>
      </c>
    </row>
    <row r="117" spans="2:9" ht="31.2" x14ac:dyDescent="0.4">
      <c r="B117" s="48" t="s">
        <v>182</v>
      </c>
      <c r="C117" s="22" t="s">
        <v>228</v>
      </c>
      <c r="D117" s="5" t="s">
        <v>145</v>
      </c>
      <c r="E117" s="58" t="s">
        <v>229</v>
      </c>
      <c r="F117" s="59"/>
      <c r="G117" s="60"/>
      <c r="H117" s="60"/>
      <c r="I117" s="74">
        <f t="shared" si="3"/>
        <v>0</v>
      </c>
    </row>
    <row r="118" spans="2:9" x14ac:dyDescent="0.4">
      <c r="B118" s="46"/>
      <c r="C118" s="22"/>
      <c r="D118" s="5" t="s">
        <v>106</v>
      </c>
      <c r="E118" s="53" t="s">
        <v>140</v>
      </c>
      <c r="F118" s="59"/>
      <c r="G118" s="60"/>
      <c r="H118" s="60"/>
      <c r="I118" s="74">
        <f t="shared" si="3"/>
        <v>0</v>
      </c>
    </row>
    <row r="119" spans="2:9" x14ac:dyDescent="0.4">
      <c r="B119" s="49"/>
      <c r="C119" s="23"/>
      <c r="D119" s="4" t="s">
        <v>146</v>
      </c>
      <c r="E119" s="4" t="s">
        <v>241</v>
      </c>
      <c r="F119" s="59"/>
      <c r="G119" s="60"/>
      <c r="H119" s="60"/>
      <c r="I119" s="74">
        <f t="shared" si="3"/>
        <v>0</v>
      </c>
    </row>
    <row r="120" spans="2:9" ht="18" thickBot="1" x14ac:dyDescent="0.45">
      <c r="B120" s="95" t="s">
        <v>250</v>
      </c>
      <c r="C120" s="96"/>
      <c r="D120" s="96"/>
      <c r="E120" s="97"/>
      <c r="F120" s="73">
        <f>COUNTA(F18:F119)</f>
        <v>6</v>
      </c>
      <c r="G120" s="73">
        <f t="shared" ref="G120:H120" si="4">COUNTA(G18:G119)</f>
        <v>0</v>
      </c>
      <c r="H120" s="73">
        <f t="shared" si="4"/>
        <v>0</v>
      </c>
      <c r="I120" s="75">
        <f>SUM(I18:I119)</f>
        <v>6</v>
      </c>
    </row>
    <row r="121" spans="2:9" x14ac:dyDescent="0.4">
      <c r="E121" s="70"/>
    </row>
    <row r="123" spans="2:9" x14ac:dyDescent="0.4">
      <c r="B123" s="76"/>
    </row>
  </sheetData>
  <protectedRanges>
    <protectedRange sqref="F54" name="범위1_9"/>
    <protectedRange sqref="F56" name="범위1_14_1"/>
    <protectedRange sqref="F77" name="범위1_18_1"/>
    <protectedRange sqref="F82" name="범위1_18_2_2"/>
    <protectedRange sqref="F87" name="범위1_18_2_1"/>
    <protectedRange sqref="F89" name="범위1_18_2"/>
  </protectedRanges>
  <mergeCells count="10">
    <mergeCell ref="I16:I17"/>
    <mergeCell ref="B120:E120"/>
    <mergeCell ref="B10:E10"/>
    <mergeCell ref="B11:E11"/>
    <mergeCell ref="B12:E12"/>
    <mergeCell ref="B13:E13"/>
    <mergeCell ref="D17:E17"/>
    <mergeCell ref="B16:E16"/>
    <mergeCell ref="B17:C17"/>
    <mergeCell ref="F16:H16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심사일지</vt:lpstr>
      <vt:lpstr>심사일지!Print_Area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2024-05-24T01:00:20Z</dcterms:modified>
</cp:coreProperties>
</file>